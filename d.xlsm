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shbaadil/Desktop/Website/"/>
    </mc:Choice>
  </mc:AlternateContent>
  <xr:revisionPtr revIDLastSave="0" documentId="13_ncr:1_{AA00D5A2-C2D4-5240-A86E-E74CA3F8DCD1}" xr6:coauthVersionLast="43" xr6:coauthVersionMax="43" xr10:uidLastSave="{00000000-0000-0000-0000-000000000000}"/>
  <bookViews>
    <workbookView xWindow="0" yWindow="460" windowWidth="28800" windowHeight="16680" xr2:uid="{0F9AFA79-5326-B94E-A382-C874F8280CD5}"/>
  </bookViews>
  <sheets>
    <sheet name="Time Management" sheetId="5" r:id="rId1"/>
    <sheet name="Task Manager" sheetId="1" r:id="rId2"/>
    <sheet name="Scheduling" sheetId="3" r:id="rId3"/>
    <sheet name="Member Assistance" sheetId="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5" i="3" l="1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D66" i="5"/>
  <c r="D67" i="5"/>
  <c r="D68" i="5"/>
  <c r="D69" i="5"/>
  <c r="D70" i="5"/>
  <c r="D71" i="5"/>
  <c r="D72" i="5"/>
  <c r="D73" i="5"/>
  <c r="D74" i="5"/>
  <c r="D65" i="5"/>
  <c r="D51" i="5"/>
  <c r="D52" i="5"/>
  <c r="D53" i="5"/>
  <c r="D54" i="5"/>
  <c r="D55" i="5"/>
  <c r="D56" i="5"/>
  <c r="D57" i="5"/>
  <c r="D58" i="5"/>
  <c r="D59" i="5"/>
  <c r="D50" i="5"/>
  <c r="D36" i="5"/>
  <c r="D37" i="5"/>
  <c r="D38" i="5"/>
  <c r="D39" i="5"/>
  <c r="D40" i="5"/>
  <c r="D41" i="5"/>
  <c r="D42" i="5"/>
  <c r="D43" i="5"/>
  <c r="D44" i="5"/>
  <c r="D35" i="5"/>
  <c r="D21" i="5"/>
  <c r="D22" i="5"/>
  <c r="D23" i="5"/>
  <c r="D24" i="5"/>
  <c r="D25" i="5"/>
  <c r="D26" i="5"/>
  <c r="D27" i="5"/>
  <c r="D28" i="5"/>
  <c r="D29" i="5"/>
  <c r="D20" i="5"/>
  <c r="D5" i="5" l="1"/>
  <c r="D6" i="5"/>
  <c r="D7" i="5"/>
  <c r="G21" i="5"/>
  <c r="G22" i="5"/>
  <c r="G23" i="5"/>
  <c r="G24" i="5"/>
  <c r="G25" i="5"/>
  <c r="G26" i="5"/>
  <c r="G27" i="5"/>
  <c r="G28" i="5"/>
  <c r="G29" i="5"/>
  <c r="F36" i="5"/>
  <c r="F37" i="5"/>
  <c r="F38" i="5"/>
  <c r="F39" i="5"/>
  <c r="F40" i="5"/>
  <c r="F41" i="5"/>
  <c r="F42" i="5"/>
  <c r="F43" i="5"/>
  <c r="F44" i="5"/>
  <c r="F35" i="5"/>
  <c r="D24" i="1"/>
  <c r="F21" i="5"/>
  <c r="F22" i="5"/>
  <c r="F23" i="5"/>
  <c r="F24" i="5"/>
  <c r="F25" i="5"/>
  <c r="F26" i="5"/>
  <c r="F27" i="5"/>
  <c r="F28" i="5"/>
  <c r="F29" i="5"/>
  <c r="F20" i="5"/>
  <c r="G35" i="5" l="1"/>
  <c r="F6" i="5"/>
  <c r="F7" i="5"/>
  <c r="F5" i="5"/>
  <c r="F51" i="5"/>
  <c r="F53" i="5"/>
  <c r="F55" i="5"/>
  <c r="F56" i="5"/>
  <c r="F57" i="5"/>
  <c r="F58" i="5"/>
  <c r="F59" i="5"/>
  <c r="F50" i="5"/>
  <c r="F66" i="5"/>
  <c r="F67" i="5"/>
  <c r="F68" i="5"/>
  <c r="F69" i="5"/>
  <c r="F70" i="5"/>
  <c r="F71" i="5"/>
  <c r="F72" i="5"/>
  <c r="F73" i="5"/>
  <c r="F74" i="5"/>
  <c r="F65" i="5"/>
  <c r="G65" i="5"/>
  <c r="G66" i="5"/>
  <c r="G51" i="5"/>
  <c r="G53" i="5"/>
  <c r="G55" i="5"/>
  <c r="G56" i="5"/>
  <c r="G57" i="5"/>
  <c r="G58" i="5"/>
  <c r="G59" i="5"/>
  <c r="G36" i="5"/>
  <c r="J51" i="3" l="1"/>
  <c r="I51" i="3"/>
  <c r="H51" i="3"/>
  <c r="G51" i="3"/>
  <c r="G7" i="5"/>
  <c r="D8" i="5"/>
  <c r="D9" i="5"/>
  <c r="F9" i="5" s="1"/>
  <c r="D10" i="5"/>
  <c r="F10" i="5" s="1"/>
  <c r="D11" i="5"/>
  <c r="D12" i="5"/>
  <c r="F12" i="5" s="1"/>
  <c r="D13" i="5"/>
  <c r="F13" i="5" s="1"/>
  <c r="D14" i="5"/>
  <c r="F14" i="5" s="1"/>
  <c r="G74" i="5"/>
  <c r="G73" i="5"/>
  <c r="G72" i="5"/>
  <c r="G71" i="5"/>
  <c r="G70" i="5"/>
  <c r="G69" i="5"/>
  <c r="G68" i="5"/>
  <c r="H67" i="5" s="1"/>
  <c r="G67" i="5"/>
  <c r="G50" i="5"/>
  <c r="G44" i="5"/>
  <c r="G43" i="5"/>
  <c r="G42" i="5"/>
  <c r="G41" i="5"/>
  <c r="G39" i="5"/>
  <c r="G38" i="5"/>
  <c r="G37" i="5"/>
  <c r="G20" i="5"/>
  <c r="H37" i="5" l="1"/>
  <c r="H20" i="5"/>
  <c r="H22" i="5"/>
  <c r="H52" i="5"/>
  <c r="G8" i="5"/>
  <c r="F8" i="5"/>
  <c r="G11" i="5"/>
  <c r="F11" i="5"/>
  <c r="G13" i="5"/>
  <c r="G10" i="5"/>
  <c r="G9" i="5"/>
  <c r="G14" i="5"/>
  <c r="G6" i="5"/>
  <c r="F54" i="5"/>
  <c r="G54" i="5"/>
  <c r="G40" i="5"/>
  <c r="H35" i="5" s="1"/>
  <c r="G12" i="5"/>
  <c r="G52" i="5"/>
  <c r="F52" i="5"/>
  <c r="H65" i="5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J32" i="3"/>
  <c r="J20" i="3"/>
  <c r="J21" i="3"/>
  <c r="J31" i="3"/>
  <c r="J30" i="3"/>
  <c r="J29" i="3"/>
  <c r="J28" i="3"/>
  <c r="J27" i="3"/>
  <c r="J26" i="3"/>
  <c r="J25" i="3"/>
  <c r="J24" i="3"/>
  <c r="J23" i="3"/>
  <c r="J22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G6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5" i="3"/>
  <c r="F51" i="3" s="1"/>
  <c r="G4" i="3"/>
  <c r="F50" i="3" s="1"/>
  <c r="G3" i="3"/>
  <c r="G2" i="3"/>
  <c r="F32" i="3"/>
  <c r="F31" i="3"/>
  <c r="F30" i="3"/>
  <c r="F29" i="3"/>
  <c r="K29" i="3" s="1"/>
  <c r="F28" i="3"/>
  <c r="F27" i="3"/>
  <c r="F26" i="3"/>
  <c r="F25" i="3"/>
  <c r="K25" i="3" s="1"/>
  <c r="F24" i="3"/>
  <c r="F23" i="3"/>
  <c r="F22" i="3"/>
  <c r="F21" i="3"/>
  <c r="K21" i="3" s="1"/>
  <c r="F20" i="3"/>
  <c r="F19" i="3"/>
  <c r="F18" i="3"/>
  <c r="F17" i="3"/>
  <c r="K17" i="3" s="1"/>
  <c r="F16" i="3"/>
  <c r="F15" i="3"/>
  <c r="F14" i="3"/>
  <c r="F13" i="3"/>
  <c r="K13" i="3" s="1"/>
  <c r="F11" i="3"/>
  <c r="F12" i="3"/>
  <c r="F10" i="3"/>
  <c r="F9" i="3"/>
  <c r="K9" i="3" s="1"/>
  <c r="F8" i="3"/>
  <c r="F7" i="3"/>
  <c r="F6" i="3"/>
  <c r="F5" i="3"/>
  <c r="F2" i="3"/>
  <c r="F4" i="3"/>
  <c r="F3" i="3"/>
  <c r="K5" i="3" l="1"/>
  <c r="K2" i="3"/>
  <c r="K10" i="3"/>
  <c r="K14" i="3"/>
  <c r="K47" i="3" s="1"/>
  <c r="K18" i="3"/>
  <c r="K51" i="3" s="1"/>
  <c r="K22" i="3"/>
  <c r="K26" i="3"/>
  <c r="K30" i="3"/>
  <c r="K48" i="3"/>
  <c r="K35" i="3"/>
  <c r="K43" i="3"/>
  <c r="K6" i="3"/>
  <c r="K39" i="3" s="1"/>
  <c r="K50" i="3"/>
  <c r="K49" i="3"/>
  <c r="K38" i="3"/>
  <c r="K42" i="3"/>
  <c r="K46" i="3"/>
  <c r="H50" i="5"/>
  <c r="K4" i="3"/>
  <c r="K37" i="3" s="1"/>
  <c r="K7" i="3"/>
  <c r="K40" i="3" s="1"/>
  <c r="K12" i="3"/>
  <c r="K45" i="3" s="1"/>
  <c r="K15" i="3"/>
  <c r="K19" i="3"/>
  <c r="K23" i="3"/>
  <c r="K27" i="3"/>
  <c r="K31" i="3"/>
  <c r="K3" i="3"/>
  <c r="K36" i="3" s="1"/>
  <c r="K8" i="3"/>
  <c r="K41" i="3" s="1"/>
  <c r="K11" i="3"/>
  <c r="K44" i="3" s="1"/>
  <c r="K16" i="3"/>
  <c r="K20" i="3"/>
  <c r="K24" i="3"/>
  <c r="K28" i="3"/>
  <c r="K32" i="3"/>
  <c r="G5" i="5"/>
  <c r="H5" i="5" l="1"/>
  <c r="H7" i="5"/>
</calcChain>
</file>

<file path=xl/sharedStrings.xml><?xml version="1.0" encoding="utf-8"?>
<sst xmlns="http://schemas.openxmlformats.org/spreadsheetml/2006/main" count="297" uniqueCount="184">
  <si>
    <t>Name</t>
  </si>
  <si>
    <t>Goal</t>
  </si>
  <si>
    <t>Role</t>
  </si>
  <si>
    <t>Member #</t>
  </si>
  <si>
    <t>Sheet #</t>
  </si>
  <si>
    <t xml:space="preserve">Function </t>
  </si>
  <si>
    <t>Task Proritization</t>
  </si>
  <si>
    <t>Task Distribution</t>
  </si>
  <si>
    <t>Project Tracker</t>
  </si>
  <si>
    <t>Time Management</t>
  </si>
  <si>
    <t>Scheduling</t>
  </si>
  <si>
    <t>Skill Set Bank</t>
  </si>
  <si>
    <t>Leading</t>
  </si>
  <si>
    <t>Writing</t>
  </si>
  <si>
    <t xml:space="preserve">Problem Solving </t>
  </si>
  <si>
    <t>Researching</t>
  </si>
  <si>
    <t>Data Collecting</t>
  </si>
  <si>
    <t xml:space="preserve">Roles </t>
  </si>
  <si>
    <t>PM</t>
  </si>
  <si>
    <t>PS</t>
  </si>
  <si>
    <t>RM</t>
  </si>
  <si>
    <t>A</t>
  </si>
  <si>
    <t>Roles:</t>
  </si>
  <si>
    <t xml:space="preserve">PM= Product Manager </t>
  </si>
  <si>
    <t>PS= Problem Solver</t>
  </si>
  <si>
    <t xml:space="preserve">RM= Risk Manager </t>
  </si>
  <si>
    <t xml:space="preserve">A= Adminstrative </t>
  </si>
  <si>
    <t xml:space="preserve">Skills Set You Have </t>
  </si>
  <si>
    <t xml:space="preserve">Role Suited For you </t>
  </si>
  <si>
    <t>C= Coder/ Designer</t>
  </si>
  <si>
    <t>C</t>
  </si>
  <si>
    <t xml:space="preserve">Member 1 </t>
  </si>
  <si>
    <t xml:space="preserve">Tasks To complete </t>
  </si>
  <si>
    <t xml:space="preserve">Rank of Importance </t>
  </si>
  <si>
    <t xml:space="preserve">Member 2 </t>
  </si>
  <si>
    <t>Member 3</t>
  </si>
  <si>
    <t>Member 4</t>
  </si>
  <si>
    <t>Member 5</t>
  </si>
  <si>
    <t>Tasks To complete</t>
  </si>
  <si>
    <t>Rank of Importance</t>
  </si>
  <si>
    <t>Tasks To Complete</t>
  </si>
  <si>
    <t>31st</t>
  </si>
  <si>
    <t>30th</t>
  </si>
  <si>
    <t>29th</t>
  </si>
  <si>
    <t>28th</t>
  </si>
  <si>
    <t>27th</t>
  </si>
  <si>
    <t>26th</t>
  </si>
  <si>
    <t>25th</t>
  </si>
  <si>
    <t>24th</t>
  </si>
  <si>
    <t>23rd</t>
  </si>
  <si>
    <t>22nd</t>
  </si>
  <si>
    <t>21st</t>
  </si>
  <si>
    <t>20th</t>
  </si>
  <si>
    <t>19th</t>
  </si>
  <si>
    <t>18th</t>
  </si>
  <si>
    <t>17th</t>
  </si>
  <si>
    <t>23pm</t>
  </si>
  <si>
    <t>16th</t>
  </si>
  <si>
    <t>22pm</t>
  </si>
  <si>
    <t>15th</t>
  </si>
  <si>
    <t>21pm</t>
  </si>
  <si>
    <t>14th</t>
  </si>
  <si>
    <t>20pm</t>
  </si>
  <si>
    <t>13th</t>
  </si>
  <si>
    <t>19pm</t>
  </si>
  <si>
    <t>12th</t>
  </si>
  <si>
    <t>18pm</t>
  </si>
  <si>
    <t>11th</t>
  </si>
  <si>
    <t>17pm</t>
  </si>
  <si>
    <t>10th</t>
  </si>
  <si>
    <t>16pm</t>
  </si>
  <si>
    <t>9th</t>
  </si>
  <si>
    <t>15pm</t>
  </si>
  <si>
    <t>8th</t>
  </si>
  <si>
    <t>14pm</t>
  </si>
  <si>
    <t>7th</t>
  </si>
  <si>
    <t>13pm</t>
  </si>
  <si>
    <t>6th</t>
  </si>
  <si>
    <t>12pm</t>
    <phoneticPr fontId="7" type="noConversion"/>
  </si>
  <si>
    <t>5th</t>
  </si>
  <si>
    <t>11am</t>
  </si>
  <si>
    <t>4th</t>
  </si>
  <si>
    <t>10am</t>
  </si>
  <si>
    <t>3rd</t>
  </si>
  <si>
    <t>9am</t>
  </si>
  <si>
    <t>2nd</t>
  </si>
  <si>
    <t>8am</t>
    <phoneticPr fontId="7" type="noConversion"/>
  </si>
  <si>
    <t>1st</t>
    <phoneticPr fontId="7" type="noConversion"/>
  </si>
  <si>
    <t>Member 2</t>
  </si>
  <si>
    <t>Member 1</t>
    <phoneticPr fontId="7" type="noConversion"/>
  </si>
  <si>
    <t>Task 11</t>
  </si>
  <si>
    <t>Task 10</t>
  </si>
  <si>
    <t>Task 9</t>
  </si>
  <si>
    <t>Task 8</t>
  </si>
  <si>
    <t>Task 7</t>
  </si>
  <si>
    <t>Task 6</t>
  </si>
  <si>
    <t>Task 5</t>
  </si>
  <si>
    <t>Task 4</t>
  </si>
  <si>
    <t>Task 3</t>
  </si>
  <si>
    <t>Task 2</t>
  </si>
  <si>
    <t>Task 1</t>
  </si>
  <si>
    <t>Status</t>
  </si>
  <si>
    <t>% Complete</t>
  </si>
  <si>
    <t xml:space="preserve">Days Completed  </t>
  </si>
  <si>
    <t xml:space="preserve">Task Duration (Days) </t>
  </si>
  <si>
    <t xml:space="preserve">Description </t>
  </si>
  <si>
    <t xml:space="preserve">End Date </t>
  </si>
  <si>
    <t xml:space="preserve">Start date </t>
  </si>
  <si>
    <t xml:space="preserve">Poject Name: </t>
  </si>
  <si>
    <t xml:space="preserve">Productivity </t>
  </si>
  <si>
    <t>Coding</t>
  </si>
  <si>
    <t>Avaible Date</t>
    <phoneticPr fontId="6" type="noConversion"/>
  </si>
  <si>
    <t>Task 12</t>
  </si>
  <si>
    <t>Task 13</t>
  </si>
  <si>
    <t>Task 14</t>
  </si>
  <si>
    <t>Task 15</t>
  </si>
  <si>
    <t>Task 16</t>
  </si>
  <si>
    <t>Task 17</t>
  </si>
  <si>
    <t>Task 18</t>
  </si>
  <si>
    <t>Task 19</t>
  </si>
  <si>
    <t>Task 20</t>
  </si>
  <si>
    <t>Task 21</t>
  </si>
  <si>
    <t>Task 45</t>
  </si>
  <si>
    <t>Task 47</t>
  </si>
  <si>
    <t>Task 22</t>
  </si>
  <si>
    <t>Task 23</t>
  </si>
  <si>
    <t>Task 24</t>
  </si>
  <si>
    <t>Task 25</t>
  </si>
  <si>
    <t>Task 26</t>
  </si>
  <si>
    <t>Task 27</t>
  </si>
  <si>
    <t>Task 28</t>
  </si>
  <si>
    <t>Task 29</t>
  </si>
  <si>
    <t>Task 30</t>
  </si>
  <si>
    <t>Task 31</t>
  </si>
  <si>
    <t>Task 35</t>
  </si>
  <si>
    <t>Task 37</t>
  </si>
  <si>
    <t>Task 38</t>
  </si>
  <si>
    <t>Task 32</t>
  </si>
  <si>
    <t>Task 34</t>
  </si>
  <si>
    <t>Task 33</t>
  </si>
  <si>
    <t>Task 36</t>
  </si>
  <si>
    <t>Task 39</t>
  </si>
  <si>
    <t>Task 40</t>
  </si>
  <si>
    <t>Task 41</t>
  </si>
  <si>
    <t>Task 42</t>
  </si>
  <si>
    <t>Task 43</t>
  </si>
  <si>
    <t>Task 44</t>
  </si>
  <si>
    <t>Task 46</t>
  </si>
  <si>
    <t>Task 48</t>
  </si>
  <si>
    <t>Task 49</t>
  </si>
  <si>
    <t>Task 50</t>
  </si>
  <si>
    <t>Member 1</t>
  </si>
  <si>
    <t>Member</t>
  </si>
  <si>
    <t>Member1</t>
  </si>
  <si>
    <t>Date\Name</t>
  </si>
  <si>
    <t>Available Date</t>
  </si>
  <si>
    <t>Available Time</t>
  </si>
  <si>
    <t>Yes/No</t>
  </si>
  <si>
    <t>Time\Name</t>
  </si>
  <si>
    <t>24pm</t>
  </si>
  <si>
    <t xml:space="preserve">12pm </t>
  </si>
  <si>
    <t>Rank, 1-3</t>
  </si>
  <si>
    <t>Rank, 4-7</t>
  </si>
  <si>
    <t>Rank, 8-</t>
  </si>
  <si>
    <t>Priority</t>
  </si>
  <si>
    <t>Others</t>
  </si>
  <si>
    <t>Important</t>
  </si>
  <si>
    <t>Task1</t>
  </si>
  <si>
    <t>Assistance Needed</t>
  </si>
  <si>
    <t xml:space="preserve">1st, 7th, 8th, 15th, 21st </t>
  </si>
  <si>
    <t xml:space="preserve">1st, 4th, 9th, 15th, 21st </t>
  </si>
  <si>
    <t xml:space="preserve">1st, 4th, 5th, 7th, 9th </t>
  </si>
  <si>
    <t xml:space="preserve">1st, 4th, 7th, 15th, 21st </t>
  </si>
  <si>
    <t>1st, 7th, 9th, 15th, 21st</t>
  </si>
  <si>
    <t>9am, 12pm, 17pm, 19pm</t>
  </si>
  <si>
    <t xml:space="preserve">11am, 12pm, 17pm </t>
  </si>
  <si>
    <t xml:space="preserve">12pm, 17pm, 19pm </t>
  </si>
  <si>
    <t>Designing</t>
  </si>
  <si>
    <t>Member Assistance</t>
  </si>
  <si>
    <t>OT</t>
  </si>
  <si>
    <t>OT=Others</t>
  </si>
  <si>
    <t>Attention/Assistance</t>
  </si>
  <si>
    <t>Member5</t>
  </si>
  <si>
    <t>11am ,12pm, 17pm, 19pm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</si>
</sst>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;@"/>
  </numFmts>
  <fonts count="19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9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3"/>
      <color indexed="9"/>
      <name val="Calibri"/>
      <family val="2"/>
      <scheme val="minor"/>
    </font>
    <font>
      <b/>
      <sz val="15"/>
      <color theme="3" tint="-0.249977111117893"/>
      <name val="Calibri"/>
      <family val="2"/>
      <scheme val="minor"/>
    </font>
    <font>
      <sz val="15"/>
      <color theme="3" tint="-0.249977111117893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2"/>
      <color theme="0"/>
      <name val="Aharoni"/>
      <charset val="177"/>
    </font>
  </fonts>
  <fills count="1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467C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A3A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0.14999847407452621"/>
      </patternFill>
    </fill>
    <fill>
      <patternFill patternType="solid">
        <fgColor rgb="FFFFC000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auto="1"/>
      </bottom>
      <diagonal/>
    </border>
    <border>
      <left style="thin">
        <color theme="0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5" fillId="0" borderId="0">
      <alignment vertical="center"/>
    </xf>
    <xf numFmtId="0" fontId="1" fillId="0" borderId="0"/>
    <xf numFmtId="9" fontId="1" fillId="0" borderId="0" applyFont="0" applyFill="0" applyBorder="0" applyAlignment="0" applyProtection="0"/>
  </cellStyleXfs>
  <cellXfs count="153">
    <xf numFmtId="0" fontId="0" fillId="0" borderId="0" xfId="0"/>
    <xf numFmtId="0" fontId="2" fillId="0" borderId="0" xfId="0" applyFont="1" applyFill="1"/>
    <xf numFmtId="0" fontId="0" fillId="0" borderId="0" xfId="0" applyFill="1"/>
    <xf numFmtId="0" fontId="0" fillId="7" borderId="0" xfId="0" applyFill="1"/>
    <xf numFmtId="0" fontId="4" fillId="7" borderId="0" xfId="0" applyFont="1" applyFill="1"/>
    <xf numFmtId="0" fontId="5" fillId="0" borderId="0" xfId="1">
      <alignment vertical="center"/>
    </xf>
    <xf numFmtId="0" fontId="5" fillId="0" borderId="0" xfId="1" applyFill="1">
      <alignment vertical="center"/>
    </xf>
    <xf numFmtId="20" fontId="5" fillId="0" borderId="0" xfId="1" applyNumberFormat="1" applyFill="1">
      <alignment vertical="center"/>
    </xf>
    <xf numFmtId="0" fontId="5" fillId="0" borderId="0" xfId="1" applyNumberFormat="1" applyFill="1">
      <alignment vertical="center"/>
    </xf>
    <xf numFmtId="0" fontId="1" fillId="0" borderId="0" xfId="2"/>
    <xf numFmtId="0" fontId="1" fillId="0" borderId="0" xfId="2" applyAlignment="1">
      <alignment horizontal="center"/>
    </xf>
    <xf numFmtId="0" fontId="10" fillId="0" borderId="0" xfId="0" applyFont="1"/>
    <xf numFmtId="14" fontId="1" fillId="0" borderId="0" xfId="2" applyNumberFormat="1"/>
    <xf numFmtId="0" fontId="1" fillId="0" borderId="0" xfId="2" applyFill="1" applyAlignment="1">
      <alignment horizontal="center"/>
    </xf>
    <xf numFmtId="0" fontId="0" fillId="0" borderId="3" xfId="0" applyBorder="1"/>
    <xf numFmtId="0" fontId="11" fillId="9" borderId="9" xfId="2" applyFont="1" applyFill="1" applyBorder="1" applyAlignment="1">
      <alignment horizontal="center" vertical="center" wrapText="1"/>
    </xf>
    <xf numFmtId="0" fontId="0" fillId="4" borderId="5" xfId="0" applyFill="1" applyBorder="1"/>
    <xf numFmtId="0" fontId="0" fillId="4" borderId="14" xfId="0" applyFill="1" applyBorder="1"/>
    <xf numFmtId="0" fontId="0" fillId="0" borderId="5" xfId="0" applyBorder="1"/>
    <xf numFmtId="0" fontId="0" fillId="0" borderId="14" xfId="0" applyBorder="1"/>
    <xf numFmtId="0" fontId="0" fillId="0" borderId="2" xfId="0" applyBorder="1"/>
    <xf numFmtId="0" fontId="0" fillId="0" borderId="15" xfId="0" applyBorder="1"/>
    <xf numFmtId="0" fontId="0" fillId="10" borderId="5" xfId="0" applyFill="1" applyBorder="1"/>
    <xf numFmtId="0" fontId="0" fillId="10" borderId="14" xfId="0" applyFill="1" applyBorder="1"/>
    <xf numFmtId="0" fontId="0" fillId="0" borderId="14" xfId="0" applyFill="1" applyBorder="1"/>
    <xf numFmtId="0" fontId="0" fillId="0" borderId="15" xfId="0" applyFill="1" applyBorder="1"/>
    <xf numFmtId="0" fontId="0" fillId="11" borderId="5" xfId="0" applyFill="1" applyBorder="1"/>
    <xf numFmtId="0" fontId="0" fillId="11" borderId="14" xfId="0" applyFill="1" applyBorder="1"/>
    <xf numFmtId="0" fontId="0" fillId="12" borderId="5" xfId="0" applyFill="1" applyBorder="1"/>
    <xf numFmtId="0" fontId="0" fillId="12" borderId="14" xfId="0" applyFill="1" applyBorder="1"/>
    <xf numFmtId="0" fontId="0" fillId="13" borderId="5" xfId="0" applyFill="1" applyBorder="1"/>
    <xf numFmtId="0" fontId="0" fillId="13" borderId="14" xfId="0" applyFill="1" applyBorder="1"/>
    <xf numFmtId="0" fontId="0" fillId="0" borderId="0" xfId="0" applyBorder="1"/>
    <xf numFmtId="0" fontId="11" fillId="9" borderId="21" xfId="2" applyFont="1" applyFill="1" applyBorder="1" applyAlignment="1">
      <alignment horizontal="center" vertical="center" wrapText="1"/>
    </xf>
    <xf numFmtId="0" fontId="11" fillId="9" borderId="22" xfId="2" applyFont="1" applyFill="1" applyBorder="1" applyAlignment="1">
      <alignment horizontal="center" vertical="center" wrapText="1"/>
    </xf>
    <xf numFmtId="0" fontId="11" fillId="9" borderId="9" xfId="2" applyFont="1" applyFill="1" applyBorder="1" applyAlignment="1">
      <alignment horizontal="center"/>
    </xf>
    <xf numFmtId="0" fontId="11" fillId="9" borderId="22" xfId="2" applyFont="1" applyFill="1" applyBorder="1" applyAlignment="1">
      <alignment horizontal="center"/>
    </xf>
    <xf numFmtId="0" fontId="5" fillId="0" borderId="0" xfId="1" applyBorder="1">
      <alignment vertical="center"/>
    </xf>
    <xf numFmtId="0" fontId="5" fillId="0" borderId="3" xfId="1" applyBorder="1">
      <alignment vertical="center"/>
    </xf>
    <xf numFmtId="0" fontId="0" fillId="0" borderId="3" xfId="1" applyFont="1" applyBorder="1">
      <alignment vertical="center"/>
    </xf>
    <xf numFmtId="0" fontId="5" fillId="0" borderId="3" xfId="1" applyFill="1" applyBorder="1">
      <alignment vertical="center"/>
    </xf>
    <xf numFmtId="0" fontId="5" fillId="0" borderId="3" xfId="1" applyNumberFormat="1" applyFill="1" applyBorder="1">
      <alignment vertical="center"/>
    </xf>
    <xf numFmtId="0" fontId="5" fillId="0" borderId="4" xfId="1" applyNumberFormat="1" applyFill="1" applyBorder="1">
      <alignment vertical="center"/>
    </xf>
    <xf numFmtId="0" fontId="8" fillId="0" borderId="28" xfId="1" applyFont="1" applyBorder="1">
      <alignment vertical="center"/>
    </xf>
    <xf numFmtId="0" fontId="5" fillId="0" borderId="29" xfId="1" applyFill="1" applyBorder="1">
      <alignment vertical="center"/>
    </xf>
    <xf numFmtId="0" fontId="5" fillId="0" borderId="31" xfId="1" applyFill="1" applyBorder="1">
      <alignment vertical="center"/>
    </xf>
    <xf numFmtId="0" fontId="5" fillId="0" borderId="31" xfId="1" applyNumberFormat="1" applyFill="1" applyBorder="1">
      <alignment vertical="center"/>
    </xf>
    <xf numFmtId="0" fontId="5" fillId="0" borderId="32" xfId="1" applyNumberFormat="1" applyFill="1" applyBorder="1">
      <alignment vertical="center"/>
    </xf>
    <xf numFmtId="0" fontId="0" fillId="0" borderId="0" xfId="0" applyFill="1" applyBorder="1"/>
    <xf numFmtId="0" fontId="4" fillId="0" borderId="0" xfId="0" applyFont="1" applyFill="1" applyAlignment="1"/>
    <xf numFmtId="0" fontId="16" fillId="15" borderId="3" xfId="0" applyFont="1" applyFill="1" applyBorder="1"/>
    <xf numFmtId="0" fontId="0" fillId="16" borderId="3" xfId="0" applyFill="1" applyBorder="1"/>
    <xf numFmtId="0" fontId="0" fillId="16" borderId="5" xfId="0" applyFill="1" applyBorder="1"/>
    <xf numFmtId="0" fontId="0" fillId="16" borderId="2" xfId="0" applyFill="1" applyBorder="1"/>
    <xf numFmtId="164" fontId="9" fillId="17" borderId="5" xfId="2" applyNumberFormat="1" applyFont="1" applyFill="1" applyBorder="1" applyAlignment="1">
      <alignment horizontal="center"/>
    </xf>
    <xf numFmtId="164" fontId="9" fillId="17" borderId="3" xfId="2" applyNumberFormat="1" applyFont="1" applyFill="1" applyBorder="1" applyAlignment="1">
      <alignment horizontal="center"/>
    </xf>
    <xf numFmtId="0" fontId="9" fillId="16" borderId="3" xfId="2" applyFont="1" applyFill="1" applyBorder="1" applyAlignment="1">
      <alignment horizontal="center" vertical="top" wrapText="1"/>
    </xf>
    <xf numFmtId="1" fontId="9" fillId="16" borderId="3" xfId="2" applyNumberFormat="1" applyFont="1" applyFill="1" applyBorder="1" applyAlignment="1">
      <alignment horizontal="center" vertical="top" wrapText="1"/>
    </xf>
    <xf numFmtId="164" fontId="9" fillId="16" borderId="5" xfId="2" applyNumberFormat="1" applyFont="1" applyFill="1" applyBorder="1" applyAlignment="1">
      <alignment horizontal="center"/>
    </xf>
    <xf numFmtId="164" fontId="9" fillId="16" borderId="3" xfId="2" applyNumberFormat="1" applyFont="1" applyFill="1" applyBorder="1" applyAlignment="1">
      <alignment horizontal="center"/>
    </xf>
    <xf numFmtId="164" fontId="9" fillId="17" borderId="2" xfId="2" applyNumberFormat="1" applyFont="1" applyFill="1" applyBorder="1" applyAlignment="1">
      <alignment horizontal="center"/>
    </xf>
    <xf numFmtId="164" fontId="9" fillId="17" borderId="1" xfId="2" applyNumberFormat="1" applyFont="1" applyFill="1" applyBorder="1" applyAlignment="1">
      <alignment horizontal="center"/>
    </xf>
    <xf numFmtId="0" fontId="9" fillId="16" borderId="1" xfId="2" applyFont="1" applyFill="1" applyBorder="1" applyAlignment="1">
      <alignment horizontal="center" vertical="top" wrapText="1"/>
    </xf>
    <xf numFmtId="1" fontId="9" fillId="16" borderId="1" xfId="2" applyNumberFormat="1" applyFont="1" applyFill="1" applyBorder="1" applyAlignment="1">
      <alignment horizontal="center" vertical="top" wrapText="1"/>
    </xf>
    <xf numFmtId="1" fontId="9" fillId="16" borderId="3" xfId="3" applyNumberFormat="1" applyFont="1" applyFill="1" applyBorder="1" applyAlignment="1">
      <alignment horizontal="center" vertical="top"/>
    </xf>
    <xf numFmtId="9" fontId="9" fillId="16" borderId="3" xfId="3" applyFont="1" applyFill="1" applyBorder="1" applyAlignment="1">
      <alignment horizontal="center" vertical="top"/>
    </xf>
    <xf numFmtId="1" fontId="9" fillId="16" borderId="1" xfId="3" applyNumberFormat="1" applyFont="1" applyFill="1" applyBorder="1" applyAlignment="1">
      <alignment horizontal="center" vertical="top"/>
    </xf>
    <xf numFmtId="9" fontId="9" fillId="16" borderId="1" xfId="3" applyFont="1" applyFill="1" applyBorder="1" applyAlignment="1">
      <alignment horizontal="center" vertical="top"/>
    </xf>
    <xf numFmtId="9" fontId="1" fillId="16" borderId="14" xfId="2" applyNumberFormat="1" applyFill="1" applyBorder="1" applyAlignment="1">
      <alignment horizontal="center"/>
    </xf>
    <xf numFmtId="0" fontId="17" fillId="9" borderId="23" xfId="2" applyFont="1" applyFill="1" applyBorder="1" applyAlignment="1">
      <alignment horizontal="center"/>
    </xf>
    <xf numFmtId="0" fontId="5" fillId="16" borderId="14" xfId="1" applyFill="1" applyBorder="1" applyAlignment="1">
      <alignment horizontal="center" vertical="center"/>
    </xf>
    <xf numFmtId="0" fontId="1" fillId="16" borderId="14" xfId="2" applyFill="1" applyBorder="1" applyAlignment="1"/>
    <xf numFmtId="0" fontId="1" fillId="16" borderId="14" xfId="2" applyFill="1" applyBorder="1" applyAlignment="1">
      <alignment horizontal="center"/>
    </xf>
    <xf numFmtId="0" fontId="1" fillId="16" borderId="33" xfId="2" applyFill="1" applyBorder="1" applyAlignment="1"/>
    <xf numFmtId="0" fontId="0" fillId="0" borderId="0" xfId="0" applyAlignment="1"/>
    <xf numFmtId="0" fontId="1" fillId="0" borderId="10" xfId="1" applyFont="1" applyBorder="1">
      <alignment vertical="center"/>
    </xf>
    <xf numFmtId="20" fontId="1" fillId="0" borderId="11" xfId="1" applyNumberFormat="1" applyFont="1" applyFill="1" applyBorder="1">
      <alignment vertical="center"/>
    </xf>
    <xf numFmtId="20" fontId="1" fillId="0" borderId="30" xfId="1" applyNumberFormat="1" applyFont="1" applyFill="1" applyBorder="1">
      <alignment vertical="center"/>
    </xf>
    <xf numFmtId="0" fontId="1" fillId="0" borderId="0" xfId="1" applyFont="1" applyBorder="1">
      <alignment vertical="center"/>
    </xf>
    <xf numFmtId="0" fontId="0" fillId="0" borderId="11" xfId="1" applyFont="1" applyBorder="1">
      <alignment vertical="center"/>
    </xf>
    <xf numFmtId="20" fontId="1" fillId="0" borderId="4" xfId="1" applyNumberFormat="1" applyFont="1" applyBorder="1">
      <alignment vertical="center"/>
    </xf>
    <xf numFmtId="0" fontId="5" fillId="0" borderId="4" xfId="1" applyFill="1" applyBorder="1">
      <alignment vertical="center"/>
    </xf>
    <xf numFmtId="0" fontId="0" fillId="0" borderId="30" xfId="1" applyFont="1" applyBorder="1">
      <alignment vertical="center"/>
    </xf>
    <xf numFmtId="0" fontId="0" fillId="0" borderId="31" xfId="1" applyFont="1" applyBorder="1">
      <alignment vertical="center"/>
    </xf>
    <xf numFmtId="0" fontId="5" fillId="0" borderId="32" xfId="1" applyFill="1" applyBorder="1">
      <alignment vertical="center"/>
    </xf>
    <xf numFmtId="164" fontId="9" fillId="16" borderId="2" xfId="2" applyNumberFormat="1" applyFont="1" applyFill="1" applyBorder="1" applyAlignment="1">
      <alignment horizontal="center"/>
    </xf>
    <xf numFmtId="164" fontId="9" fillId="16" borderId="1" xfId="2" applyNumberFormat="1" applyFont="1" applyFill="1" applyBorder="1" applyAlignment="1">
      <alignment horizontal="center"/>
    </xf>
    <xf numFmtId="0" fontId="4" fillId="14" borderId="8" xfId="0" applyFont="1" applyFill="1" applyBorder="1"/>
    <xf numFmtId="0" fontId="4" fillId="14" borderId="6" xfId="0" applyFont="1" applyFill="1" applyBorder="1" applyAlignment="1"/>
    <xf numFmtId="16" fontId="4" fillId="3" borderId="16" xfId="0" applyNumberFormat="1" applyFont="1" applyFill="1" applyBorder="1"/>
    <xf numFmtId="0" fontId="4" fillId="3" borderId="17" xfId="0" applyFont="1" applyFill="1" applyBorder="1" applyAlignment="1"/>
    <xf numFmtId="0" fontId="4" fillId="7" borderId="18" xfId="0" applyFont="1" applyFill="1" applyBorder="1"/>
    <xf numFmtId="0" fontId="4" fillId="7" borderId="20" xfId="0" applyFont="1" applyFill="1" applyBorder="1" applyAlignment="1"/>
    <xf numFmtId="0" fontId="4" fillId="4" borderId="34" xfId="0" applyFont="1" applyFill="1" applyBorder="1"/>
    <xf numFmtId="0" fontId="4" fillId="4" borderId="36" xfId="0" applyFont="1" applyFill="1" applyBorder="1"/>
    <xf numFmtId="0" fontId="0" fillId="16" borderId="15" xfId="0" applyFill="1" applyBorder="1"/>
    <xf numFmtId="0" fontId="4" fillId="5" borderId="12" xfId="0" applyFont="1" applyFill="1" applyBorder="1"/>
    <xf numFmtId="0" fontId="0" fillId="5" borderId="37" xfId="0" applyFill="1" applyBorder="1"/>
    <xf numFmtId="0" fontId="0" fillId="5" borderId="38" xfId="0" applyFill="1" applyBorder="1"/>
    <xf numFmtId="0" fontId="4" fillId="7" borderId="39" xfId="0" applyFont="1" applyFill="1" applyBorder="1"/>
    <xf numFmtId="0" fontId="0" fillId="7" borderId="40" xfId="0" applyFill="1" applyBorder="1"/>
    <xf numFmtId="0" fontId="0" fillId="7" borderId="41" xfId="0" applyFill="1" applyBorder="1"/>
    <xf numFmtId="0" fontId="2" fillId="4" borderId="42" xfId="0" applyFont="1" applyFill="1" applyBorder="1"/>
    <xf numFmtId="0" fontId="2" fillId="4" borderId="6" xfId="0" applyFont="1" applyFill="1" applyBorder="1"/>
    <xf numFmtId="0" fontId="2" fillId="3" borderId="43" xfId="0" applyFont="1" applyFill="1" applyBorder="1" applyAlignment="1">
      <alignment vertical="top"/>
    </xf>
    <xf numFmtId="0" fontId="0" fillId="3" borderId="17" xfId="0" applyFill="1" applyBorder="1"/>
    <xf numFmtId="0" fontId="2" fillId="5" borderId="43" xfId="0" applyFont="1" applyFill="1" applyBorder="1"/>
    <xf numFmtId="0" fontId="0" fillId="5" borderId="17" xfId="0" applyFill="1" applyBorder="1"/>
    <xf numFmtId="0" fontId="2" fillId="6" borderId="43" xfId="0" applyFont="1" applyFill="1" applyBorder="1"/>
    <xf numFmtId="0" fontId="0" fillId="6" borderId="17" xfId="0" applyFill="1" applyBorder="1"/>
    <xf numFmtId="0" fontId="2" fillId="2" borderId="44" xfId="0" applyFont="1" applyFill="1" applyBorder="1"/>
    <xf numFmtId="0" fontId="0" fillId="2" borderId="20" xfId="0" applyFill="1" applyBorder="1"/>
    <xf numFmtId="0" fontId="10" fillId="8" borderId="34" xfId="0" applyFont="1" applyFill="1" applyBorder="1"/>
    <xf numFmtId="0" fontId="10" fillId="8" borderId="35" xfId="0" applyFont="1" applyFill="1" applyBorder="1"/>
    <xf numFmtId="0" fontId="10" fillId="8" borderId="36" xfId="0" applyFont="1" applyFill="1" applyBorder="1"/>
    <xf numFmtId="0" fontId="0" fillId="16" borderId="14" xfId="0" applyFill="1" applyBorder="1"/>
    <xf numFmtId="0" fontId="0" fillId="13" borderId="2" xfId="0" applyFill="1" applyBorder="1"/>
    <xf numFmtId="0" fontId="0" fillId="16" borderId="1" xfId="0" applyFill="1" applyBorder="1"/>
    <xf numFmtId="0" fontId="1" fillId="0" borderId="23" xfId="2" applyBorder="1" applyAlignment="1">
      <alignment horizontal="center"/>
    </xf>
    <xf numFmtId="0" fontId="1" fillId="0" borderId="24" xfId="2" applyBorder="1" applyAlignment="1">
      <alignment horizontal="center"/>
    </xf>
    <xf numFmtId="0" fontId="1" fillId="0" borderId="25" xfId="2" applyBorder="1" applyAlignment="1">
      <alignment horizontal="center"/>
    </xf>
    <xf numFmtId="0" fontId="1" fillId="0" borderId="7" xfId="2" applyBorder="1" applyAlignment="1">
      <alignment horizontal="center"/>
    </xf>
    <xf numFmtId="0" fontId="1" fillId="0" borderId="6" xfId="2" applyBorder="1" applyAlignment="1">
      <alignment horizontal="center"/>
    </xf>
    <xf numFmtId="0" fontId="1" fillId="0" borderId="0" xfId="2" applyBorder="1" applyAlignment="1">
      <alignment horizontal="center"/>
    </xf>
    <xf numFmtId="0" fontId="1" fillId="0" borderId="17" xfId="2" applyBorder="1" applyAlignment="1">
      <alignment horizontal="center"/>
    </xf>
    <xf numFmtId="0" fontId="1" fillId="0" borderId="0" xfId="2" applyAlignment="1">
      <alignment horizontal="center"/>
    </xf>
    <xf numFmtId="0" fontId="12" fillId="0" borderId="8" xfId="2" applyFont="1" applyBorder="1" applyAlignment="1">
      <alignment horizontal="center" vertical="center"/>
    </xf>
    <xf numFmtId="0" fontId="13" fillId="0" borderId="6" xfId="2" applyFont="1" applyBorder="1" applyAlignment="1">
      <alignment horizontal="center" vertical="center"/>
    </xf>
    <xf numFmtId="0" fontId="13" fillId="0" borderId="18" xfId="2" applyFont="1" applyBorder="1" applyAlignment="1">
      <alignment horizontal="center" vertical="center"/>
    </xf>
    <xf numFmtId="0" fontId="13" fillId="0" borderId="20" xfId="2" applyFont="1" applyBorder="1" applyAlignment="1">
      <alignment horizontal="center" vertical="center"/>
    </xf>
    <xf numFmtId="0" fontId="1" fillId="0" borderId="8" xfId="2" applyBorder="1" applyAlignment="1">
      <alignment horizontal="center"/>
    </xf>
    <xf numFmtId="0" fontId="1" fillId="0" borderId="16" xfId="2" applyBorder="1" applyAlignment="1">
      <alignment horizontal="center"/>
    </xf>
    <xf numFmtId="0" fontId="1" fillId="0" borderId="19" xfId="2" applyBorder="1" applyAlignment="1">
      <alignment horizontal="center" vertical="top"/>
    </xf>
    <xf numFmtId="0" fontId="18" fillId="18" borderId="19" xfId="2" applyFont="1" applyFill="1" applyBorder="1" applyAlignment="1">
      <alignment horizontal="left" vertical="top"/>
    </xf>
    <xf numFmtId="0" fontId="8" fillId="18" borderId="19" xfId="2" applyFont="1" applyFill="1" applyBorder="1" applyAlignment="1">
      <alignment horizontal="left" vertical="top"/>
    </xf>
    <xf numFmtId="0" fontId="12" fillId="0" borderId="26" xfId="2" applyFont="1" applyBorder="1" applyAlignment="1">
      <alignment horizontal="center" vertical="center"/>
    </xf>
    <xf numFmtId="0" fontId="1" fillId="0" borderId="27" xfId="2" applyBorder="1" applyAlignment="1">
      <alignment horizontal="center" vertical="center"/>
    </xf>
    <xf numFmtId="0" fontId="1" fillId="0" borderId="18" xfId="2" applyBorder="1" applyAlignment="1">
      <alignment horizontal="center" vertical="center"/>
    </xf>
    <xf numFmtId="0" fontId="1" fillId="0" borderId="20" xfId="2" applyBorder="1" applyAlignment="1">
      <alignment horizontal="center" vertical="center"/>
    </xf>
    <xf numFmtId="0" fontId="1" fillId="0" borderId="6" xfId="2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12" fillId="0" borderId="18" xfId="2" applyFont="1" applyBorder="1" applyAlignment="1">
      <alignment horizontal="center" vertical="center"/>
    </xf>
    <xf numFmtId="0" fontId="12" fillId="0" borderId="20" xfId="2" applyFont="1" applyBorder="1" applyAlignment="1">
      <alignment horizontal="center" vertical="center"/>
    </xf>
    <xf numFmtId="0" fontId="3" fillId="13" borderId="12" xfId="0" applyFont="1" applyFill="1" applyBorder="1" applyAlignment="1">
      <alignment horizontal="center"/>
    </xf>
    <xf numFmtId="0" fontId="3" fillId="13" borderId="13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11" borderId="12" xfId="0" applyFont="1" applyFill="1" applyBorder="1" applyAlignment="1">
      <alignment horizontal="center"/>
    </xf>
    <xf numFmtId="0" fontId="3" fillId="11" borderId="13" xfId="0" applyFont="1" applyFill="1" applyBorder="1" applyAlignment="1">
      <alignment horizontal="center"/>
    </xf>
    <xf numFmtId="0" fontId="3" fillId="10" borderId="12" xfId="0" applyFont="1" applyFill="1" applyBorder="1" applyAlignment="1">
      <alignment horizontal="center"/>
    </xf>
    <xf numFmtId="0" fontId="3" fillId="10" borderId="13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/>
    </xf>
    <xf numFmtId="0" fontId="15" fillId="4" borderId="13" xfId="0" applyFont="1" applyFill="1" applyBorder="1" applyAlignment="1">
      <alignment horizontal="center"/>
    </xf>
  </cellXfs>
  <cellStyles count="4">
    <cellStyle name="Normal" xfId="0" builtinId="0"/>
    <cellStyle name="Normal 2" xfId="1" xr:uid="{2B8B6D53-72C5-4AC8-9FCA-7943D06CE3E6}"/>
    <cellStyle name="Normal 3" xfId="2" xr:uid="{B8ACFDCA-E0EF-483F-88FC-2043E5226516}"/>
    <cellStyle name="Percent 2" xfId="3" xr:uid="{60662282-1C2C-49EA-8938-AE1BD87B7628}"/>
  </cellStyles>
  <dxfs count="68"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5" formatCode="h:mm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indexed="64"/>
          <bgColor theme="8" tint="0.59996337778862885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CCCCFF"/>
        </patternFill>
      </fill>
    </dxf>
  </dxfs>
  <tableStyles count="0" defaultTableStyle="TableStyleMedium2" defaultPivotStyle="PivotStyleLight16"/>
  <colors>
    <mruColors>
      <color rgb="FFFFA3AC"/>
      <color rgb="FFCCCCFF"/>
      <color rgb="FFFF5264"/>
      <color rgb="FFF467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Memebr 1's TimeTracking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'Time Management'!$A$4</c:f>
              <c:strCache>
                <c:ptCount val="1"/>
                <c:pt idx="0">
                  <c:v>Start date 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Pt>
            <c:idx val="8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BAC-422F-ACB2-19030BA18F52}"/>
              </c:ext>
            </c:extLst>
          </c:dPt>
          <c:cat>
            <c:strRef>
              <c:f>'Time Management'!$C$5:$C$14</c:f>
              <c:strCache>
                <c:ptCount val="10"/>
                <c:pt idx="0">
                  <c:v>Task 1</c:v>
                </c:pt>
                <c:pt idx="1">
                  <c:v>Task 2</c:v>
                </c:pt>
                <c:pt idx="2">
                  <c:v>Task 3</c:v>
                </c:pt>
                <c:pt idx="3">
                  <c:v>Task 4</c:v>
                </c:pt>
                <c:pt idx="4">
                  <c:v>Task 5</c:v>
                </c:pt>
                <c:pt idx="5">
                  <c:v>Task 6</c:v>
                </c:pt>
                <c:pt idx="6">
                  <c:v>Task 7</c:v>
                </c:pt>
                <c:pt idx="7">
                  <c:v>Task 8</c:v>
                </c:pt>
                <c:pt idx="8">
                  <c:v>Task 9</c:v>
                </c:pt>
                <c:pt idx="9">
                  <c:v>Task 10</c:v>
                </c:pt>
              </c:strCache>
            </c:strRef>
          </c:cat>
          <c:val>
            <c:numRef>
              <c:f>'Time Management'!$A$5:$A$14</c:f>
              <c:numCache>
                <c:formatCode>m/d;@</c:formatCode>
                <c:ptCount val="10"/>
                <c:pt idx="0">
                  <c:v>43378</c:v>
                </c:pt>
                <c:pt idx="1">
                  <c:v>43379</c:v>
                </c:pt>
                <c:pt idx="2">
                  <c:v>43380</c:v>
                </c:pt>
                <c:pt idx="3">
                  <c:v>43381</c:v>
                </c:pt>
                <c:pt idx="4">
                  <c:v>43382</c:v>
                </c:pt>
                <c:pt idx="5">
                  <c:v>43383</c:v>
                </c:pt>
                <c:pt idx="6">
                  <c:v>43384</c:v>
                </c:pt>
                <c:pt idx="7">
                  <c:v>43385</c:v>
                </c:pt>
                <c:pt idx="8">
                  <c:v>43386</c:v>
                </c:pt>
                <c:pt idx="9">
                  <c:v>43387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6C-488C-A5A1-31DFB2941BFA}"/>
            </c:ext>
          </c:extLst>
        </c:ser>
        <c:ser>
          <c:idx val="1"/>
          <c:order val="1"/>
          <c:tx>
            <c:strRef>
              <c:f>'Time Management'!$D$4</c:f>
              <c:strCache>
                <c:ptCount val="1"/>
                <c:pt idx="0">
                  <c:v>Task Duration (Days) 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'Time Management'!$C$5:$C$14</c:f>
              <c:strCache>
                <c:ptCount val="10"/>
                <c:pt idx="0">
                  <c:v>Task 1</c:v>
                </c:pt>
                <c:pt idx="1">
                  <c:v>Task 2</c:v>
                </c:pt>
                <c:pt idx="2">
                  <c:v>Task 3</c:v>
                </c:pt>
                <c:pt idx="3">
                  <c:v>Task 4</c:v>
                </c:pt>
                <c:pt idx="4">
                  <c:v>Task 5</c:v>
                </c:pt>
                <c:pt idx="5">
                  <c:v>Task 6</c:v>
                </c:pt>
                <c:pt idx="6">
                  <c:v>Task 7</c:v>
                </c:pt>
                <c:pt idx="7">
                  <c:v>Task 8</c:v>
                </c:pt>
                <c:pt idx="8">
                  <c:v>Task 9</c:v>
                </c:pt>
                <c:pt idx="9">
                  <c:v>Task 10</c:v>
                </c:pt>
              </c:strCache>
            </c:strRef>
          </c:cat>
          <c:val>
            <c:numRef>
              <c:f>'Time Management'!$D$5:$D$14</c:f>
              <c:numCache>
                <c:formatCode>0</c:formatCode>
                <c:ptCount val="10"/>
                <c:pt idx="0">
                  <c:v>8</c:v>
                </c:pt>
                <c:pt idx="1">
                  <c:v>11</c:v>
                </c:pt>
                <c:pt idx="2">
                  <c:v>6</c:v>
                </c:pt>
                <c:pt idx="3">
                  <c:v>7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6C-488C-A5A1-31DFB2941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130309320"/>
        <c:axId val="2081144376"/>
      </c:barChart>
      <c:catAx>
        <c:axId val="21303093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1144376"/>
        <c:crosses val="autoZero"/>
        <c:auto val="1"/>
        <c:lblAlgn val="ctr"/>
        <c:lblOffset val="100"/>
        <c:noMultiLvlLbl val="0"/>
      </c:catAx>
      <c:valAx>
        <c:axId val="2081144376"/>
        <c:scaling>
          <c:orientation val="minMax"/>
          <c:min val="4335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309320"/>
        <c:crosses val="autoZero"/>
        <c:crossBetween val="between"/>
        <c:majorUnit val="1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Member</a:t>
            </a:r>
            <a:r>
              <a:rPr lang="en-CA" baseline="0"/>
              <a:t> 2's Time Tracking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'Time Management'!$A$19</c:f>
              <c:strCache>
                <c:ptCount val="1"/>
                <c:pt idx="0">
                  <c:v>Start date 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'Time Management'!$C$20:$C$29</c:f>
              <c:strCache>
                <c:ptCount val="10"/>
                <c:pt idx="0">
                  <c:v>Task 11</c:v>
                </c:pt>
                <c:pt idx="1">
                  <c:v>Task 12</c:v>
                </c:pt>
                <c:pt idx="2">
                  <c:v>Task 13</c:v>
                </c:pt>
                <c:pt idx="3">
                  <c:v>Task 14</c:v>
                </c:pt>
                <c:pt idx="4">
                  <c:v>Task 15</c:v>
                </c:pt>
                <c:pt idx="5">
                  <c:v>Task 16</c:v>
                </c:pt>
                <c:pt idx="6">
                  <c:v>Task 17</c:v>
                </c:pt>
                <c:pt idx="7">
                  <c:v>Task 18</c:v>
                </c:pt>
                <c:pt idx="8">
                  <c:v>Task 19</c:v>
                </c:pt>
                <c:pt idx="9">
                  <c:v>Task 20</c:v>
                </c:pt>
              </c:strCache>
            </c:strRef>
          </c:cat>
          <c:val>
            <c:numRef>
              <c:f>'Time Management'!$A$20:$A$29</c:f>
              <c:numCache>
                <c:formatCode>m/d;@</c:formatCode>
                <c:ptCount val="10"/>
                <c:pt idx="0">
                  <c:v>43372</c:v>
                </c:pt>
                <c:pt idx="1">
                  <c:v>43373</c:v>
                </c:pt>
                <c:pt idx="2">
                  <c:v>43374</c:v>
                </c:pt>
                <c:pt idx="3">
                  <c:v>43378</c:v>
                </c:pt>
                <c:pt idx="4">
                  <c:v>43377</c:v>
                </c:pt>
                <c:pt idx="5">
                  <c:v>43378</c:v>
                </c:pt>
                <c:pt idx="6">
                  <c:v>43379</c:v>
                </c:pt>
                <c:pt idx="7">
                  <c:v>43380</c:v>
                </c:pt>
                <c:pt idx="8">
                  <c:v>43399</c:v>
                </c:pt>
                <c:pt idx="9">
                  <c:v>43419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2F-4C91-90F6-6F00FD1E6429}"/>
            </c:ext>
          </c:extLst>
        </c:ser>
        <c:ser>
          <c:idx val="1"/>
          <c:order val="1"/>
          <c:tx>
            <c:strRef>
              <c:f>'Time Management'!$D$4</c:f>
              <c:strCache>
                <c:ptCount val="1"/>
                <c:pt idx="0">
                  <c:v>Task Duration (Days) 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'Time Management'!$C$20:$C$29</c:f>
              <c:strCache>
                <c:ptCount val="10"/>
                <c:pt idx="0">
                  <c:v>Task 11</c:v>
                </c:pt>
                <c:pt idx="1">
                  <c:v>Task 12</c:v>
                </c:pt>
                <c:pt idx="2">
                  <c:v>Task 13</c:v>
                </c:pt>
                <c:pt idx="3">
                  <c:v>Task 14</c:v>
                </c:pt>
                <c:pt idx="4">
                  <c:v>Task 15</c:v>
                </c:pt>
                <c:pt idx="5">
                  <c:v>Task 16</c:v>
                </c:pt>
                <c:pt idx="6">
                  <c:v>Task 17</c:v>
                </c:pt>
                <c:pt idx="7">
                  <c:v>Task 18</c:v>
                </c:pt>
                <c:pt idx="8">
                  <c:v>Task 19</c:v>
                </c:pt>
                <c:pt idx="9">
                  <c:v>Task 20</c:v>
                </c:pt>
              </c:strCache>
            </c:strRef>
          </c:cat>
          <c:val>
            <c:numRef>
              <c:f>'Time Management'!$D$5:$D$14</c:f>
              <c:numCache>
                <c:formatCode>0</c:formatCode>
                <c:ptCount val="10"/>
                <c:pt idx="0">
                  <c:v>8</c:v>
                </c:pt>
                <c:pt idx="1">
                  <c:v>11</c:v>
                </c:pt>
                <c:pt idx="2">
                  <c:v>6</c:v>
                </c:pt>
                <c:pt idx="3">
                  <c:v>7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2F-4C91-90F6-6F00FD1E6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130309320"/>
        <c:axId val="2081144376"/>
      </c:barChart>
      <c:catAx>
        <c:axId val="21303093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1144376"/>
        <c:crosses val="autoZero"/>
        <c:auto val="1"/>
        <c:lblAlgn val="ctr"/>
        <c:lblOffset val="100"/>
        <c:noMultiLvlLbl val="0"/>
      </c:catAx>
      <c:valAx>
        <c:axId val="2081144376"/>
        <c:scaling>
          <c:orientation val="minMax"/>
          <c:min val="4335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309320"/>
        <c:crosses val="autoZero"/>
        <c:crossBetween val="between"/>
        <c:majorUnit val="1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Member</a:t>
            </a:r>
            <a:r>
              <a:rPr lang="en-CA" baseline="0"/>
              <a:t> 3's Time Tracking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'Time Management'!$A$34</c:f>
              <c:strCache>
                <c:ptCount val="1"/>
                <c:pt idx="0">
                  <c:v>Start date 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'Time Management'!$C$35:$C$44</c:f>
              <c:strCache>
                <c:ptCount val="10"/>
                <c:pt idx="0">
                  <c:v>Task 21</c:v>
                </c:pt>
                <c:pt idx="1">
                  <c:v>Task 22</c:v>
                </c:pt>
                <c:pt idx="2">
                  <c:v>Task 23</c:v>
                </c:pt>
                <c:pt idx="3">
                  <c:v>Task 24</c:v>
                </c:pt>
                <c:pt idx="4">
                  <c:v>Task 25</c:v>
                </c:pt>
                <c:pt idx="5">
                  <c:v>Task 26</c:v>
                </c:pt>
                <c:pt idx="6">
                  <c:v>Task 27</c:v>
                </c:pt>
                <c:pt idx="7">
                  <c:v>Task 28</c:v>
                </c:pt>
                <c:pt idx="8">
                  <c:v>Task 29</c:v>
                </c:pt>
                <c:pt idx="9">
                  <c:v>Task 30</c:v>
                </c:pt>
              </c:strCache>
            </c:strRef>
          </c:cat>
          <c:val>
            <c:numRef>
              <c:f>'Time Management'!$A$35:$A$44</c:f>
              <c:numCache>
                <c:formatCode>m/d;@</c:formatCode>
                <c:ptCount val="10"/>
                <c:pt idx="0">
                  <c:v>43374</c:v>
                </c:pt>
                <c:pt idx="1">
                  <c:v>43375</c:v>
                </c:pt>
                <c:pt idx="2">
                  <c:v>43375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2E-463A-B3D3-659B4616240C}"/>
            </c:ext>
          </c:extLst>
        </c:ser>
        <c:ser>
          <c:idx val="1"/>
          <c:order val="1"/>
          <c:tx>
            <c:strRef>
              <c:f>'Time Management'!$D$4</c:f>
              <c:strCache>
                <c:ptCount val="1"/>
                <c:pt idx="0">
                  <c:v>Task Duration (Days) 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'Time Management'!$C$35:$C$44</c:f>
              <c:strCache>
                <c:ptCount val="10"/>
                <c:pt idx="0">
                  <c:v>Task 21</c:v>
                </c:pt>
                <c:pt idx="1">
                  <c:v>Task 22</c:v>
                </c:pt>
                <c:pt idx="2">
                  <c:v>Task 23</c:v>
                </c:pt>
                <c:pt idx="3">
                  <c:v>Task 24</c:v>
                </c:pt>
                <c:pt idx="4">
                  <c:v>Task 25</c:v>
                </c:pt>
                <c:pt idx="5">
                  <c:v>Task 26</c:v>
                </c:pt>
                <c:pt idx="6">
                  <c:v>Task 27</c:v>
                </c:pt>
                <c:pt idx="7">
                  <c:v>Task 28</c:v>
                </c:pt>
                <c:pt idx="8">
                  <c:v>Task 29</c:v>
                </c:pt>
                <c:pt idx="9">
                  <c:v>Task 30</c:v>
                </c:pt>
              </c:strCache>
            </c:strRef>
          </c:cat>
          <c:val>
            <c:numRef>
              <c:f>'Time Management'!$D$5:$D$14</c:f>
              <c:numCache>
                <c:formatCode>0</c:formatCode>
                <c:ptCount val="10"/>
                <c:pt idx="0">
                  <c:v>8</c:v>
                </c:pt>
                <c:pt idx="1">
                  <c:v>11</c:v>
                </c:pt>
                <c:pt idx="2">
                  <c:v>6</c:v>
                </c:pt>
                <c:pt idx="3">
                  <c:v>7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2E-463A-B3D3-659B46162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130309320"/>
        <c:axId val="2081144376"/>
      </c:barChart>
      <c:catAx>
        <c:axId val="21303093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1144376"/>
        <c:crosses val="autoZero"/>
        <c:auto val="1"/>
        <c:lblAlgn val="ctr"/>
        <c:lblOffset val="100"/>
        <c:noMultiLvlLbl val="0"/>
      </c:catAx>
      <c:valAx>
        <c:axId val="2081144376"/>
        <c:scaling>
          <c:orientation val="minMax"/>
          <c:min val="4335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309320"/>
        <c:crosses val="autoZero"/>
        <c:crossBetween val="between"/>
        <c:majorUnit val="1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Member</a:t>
            </a:r>
            <a:r>
              <a:rPr lang="en-CA" baseline="0"/>
              <a:t> 4's Time Tracking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'Time Management'!$A$49</c:f>
              <c:strCache>
                <c:ptCount val="1"/>
                <c:pt idx="0">
                  <c:v>Start date 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'Time Management'!$C$50:$C$59</c:f>
              <c:strCache>
                <c:ptCount val="10"/>
                <c:pt idx="0">
                  <c:v>Task 31</c:v>
                </c:pt>
                <c:pt idx="1">
                  <c:v>Task 32</c:v>
                </c:pt>
                <c:pt idx="2">
                  <c:v>Task 33</c:v>
                </c:pt>
                <c:pt idx="3">
                  <c:v>Task 34</c:v>
                </c:pt>
                <c:pt idx="4">
                  <c:v>Task 35</c:v>
                </c:pt>
                <c:pt idx="5">
                  <c:v>Task 36</c:v>
                </c:pt>
                <c:pt idx="6">
                  <c:v>Task 37</c:v>
                </c:pt>
                <c:pt idx="7">
                  <c:v>Task 38</c:v>
                </c:pt>
                <c:pt idx="8">
                  <c:v>Task 39</c:v>
                </c:pt>
                <c:pt idx="9">
                  <c:v>Task 40</c:v>
                </c:pt>
              </c:strCache>
            </c:strRef>
          </c:cat>
          <c:val>
            <c:numRef>
              <c:f>'Time Management'!$A$50:$A$59</c:f>
              <c:numCache>
                <c:formatCode>m/d;@</c:formatCode>
                <c:ptCount val="10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43378</c:v>
                </c:pt>
                <c:pt idx="5">
                  <c:v>43379</c:v>
                </c:pt>
                <c:pt idx="6">
                  <c:v>43380</c:v>
                </c:pt>
                <c:pt idx="7">
                  <c:v>43381</c:v>
                </c:pt>
                <c:pt idx="8">
                  <c:v>43382</c:v>
                </c:pt>
                <c:pt idx="9">
                  <c:v>43383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CE-432A-99BE-3B6FF6E3FDE8}"/>
            </c:ext>
          </c:extLst>
        </c:ser>
        <c:ser>
          <c:idx val="1"/>
          <c:order val="1"/>
          <c:tx>
            <c:strRef>
              <c:f>'Time Management'!$D$4</c:f>
              <c:strCache>
                <c:ptCount val="1"/>
                <c:pt idx="0">
                  <c:v>Task Duration (Days) 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'Time Management'!$C$50:$C$59</c:f>
              <c:strCache>
                <c:ptCount val="10"/>
                <c:pt idx="0">
                  <c:v>Task 31</c:v>
                </c:pt>
                <c:pt idx="1">
                  <c:v>Task 32</c:v>
                </c:pt>
                <c:pt idx="2">
                  <c:v>Task 33</c:v>
                </c:pt>
                <c:pt idx="3">
                  <c:v>Task 34</c:v>
                </c:pt>
                <c:pt idx="4">
                  <c:v>Task 35</c:v>
                </c:pt>
                <c:pt idx="5">
                  <c:v>Task 36</c:v>
                </c:pt>
                <c:pt idx="6">
                  <c:v>Task 37</c:v>
                </c:pt>
                <c:pt idx="7">
                  <c:v>Task 38</c:v>
                </c:pt>
                <c:pt idx="8">
                  <c:v>Task 39</c:v>
                </c:pt>
                <c:pt idx="9">
                  <c:v>Task 40</c:v>
                </c:pt>
              </c:strCache>
            </c:strRef>
          </c:cat>
          <c:val>
            <c:numRef>
              <c:f>'Time Management'!$D$5:$D$14</c:f>
              <c:numCache>
                <c:formatCode>0</c:formatCode>
                <c:ptCount val="10"/>
                <c:pt idx="0">
                  <c:v>8</c:v>
                </c:pt>
                <c:pt idx="1">
                  <c:v>11</c:v>
                </c:pt>
                <c:pt idx="2">
                  <c:v>6</c:v>
                </c:pt>
                <c:pt idx="3">
                  <c:v>7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CE-432A-99BE-3B6FF6E3F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130309320"/>
        <c:axId val="2081144376"/>
      </c:barChart>
      <c:catAx>
        <c:axId val="21303093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1144376"/>
        <c:crosses val="autoZero"/>
        <c:auto val="1"/>
        <c:lblAlgn val="ctr"/>
        <c:lblOffset val="100"/>
        <c:noMultiLvlLbl val="0"/>
      </c:catAx>
      <c:valAx>
        <c:axId val="2081144376"/>
        <c:scaling>
          <c:orientation val="minMax"/>
          <c:min val="4335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309320"/>
        <c:crosses val="autoZero"/>
        <c:crossBetween val="between"/>
        <c:majorUnit val="1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Member 5's</a:t>
            </a:r>
            <a:r>
              <a:rPr lang="en-CA" baseline="0"/>
              <a:t> Time Tracking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'Time Management'!$A$64</c:f>
              <c:strCache>
                <c:ptCount val="1"/>
                <c:pt idx="0">
                  <c:v>Start date 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'Time Management'!$C$65:$C$74</c:f>
              <c:strCache>
                <c:ptCount val="10"/>
                <c:pt idx="0">
                  <c:v>Task 41</c:v>
                </c:pt>
                <c:pt idx="1">
                  <c:v>Task 42</c:v>
                </c:pt>
                <c:pt idx="2">
                  <c:v>Task 43</c:v>
                </c:pt>
                <c:pt idx="3">
                  <c:v>Task 44</c:v>
                </c:pt>
                <c:pt idx="4">
                  <c:v>Task 45</c:v>
                </c:pt>
                <c:pt idx="5">
                  <c:v>Task 46</c:v>
                </c:pt>
                <c:pt idx="6">
                  <c:v>Task 47</c:v>
                </c:pt>
                <c:pt idx="7">
                  <c:v>Task 48</c:v>
                </c:pt>
                <c:pt idx="8">
                  <c:v>Task 49</c:v>
                </c:pt>
                <c:pt idx="9">
                  <c:v>Task 50</c:v>
                </c:pt>
              </c:strCache>
            </c:strRef>
          </c:cat>
          <c:val>
            <c:numRef>
              <c:f>'Time Management'!$A$65:$A$74</c:f>
              <c:numCache>
                <c:formatCode>m/d;@</c:formatCode>
                <c:ptCount val="10"/>
                <c:pt idx="0">
                  <c:v>43374</c:v>
                </c:pt>
                <c:pt idx="1">
                  <c:v>43375</c:v>
                </c:pt>
                <c:pt idx="2">
                  <c:v>43376</c:v>
                </c:pt>
                <c:pt idx="3">
                  <c:v>43377</c:v>
                </c:pt>
                <c:pt idx="4">
                  <c:v>43377</c:v>
                </c:pt>
                <c:pt idx="5">
                  <c:v>43378</c:v>
                </c:pt>
                <c:pt idx="6">
                  <c:v>43379</c:v>
                </c:pt>
                <c:pt idx="7">
                  <c:v>43380</c:v>
                </c:pt>
                <c:pt idx="8">
                  <c:v>43381</c:v>
                </c:pt>
                <c:pt idx="9">
                  <c:v>43382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80-4B02-9032-04376F622A7F}"/>
            </c:ext>
          </c:extLst>
        </c:ser>
        <c:ser>
          <c:idx val="1"/>
          <c:order val="1"/>
          <c:tx>
            <c:strRef>
              <c:f>'Time Management'!$D$4</c:f>
              <c:strCache>
                <c:ptCount val="1"/>
                <c:pt idx="0">
                  <c:v>Task Duration (Days) 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'Time Management'!$C$65:$C$74</c:f>
              <c:strCache>
                <c:ptCount val="10"/>
                <c:pt idx="0">
                  <c:v>Task 41</c:v>
                </c:pt>
                <c:pt idx="1">
                  <c:v>Task 42</c:v>
                </c:pt>
                <c:pt idx="2">
                  <c:v>Task 43</c:v>
                </c:pt>
                <c:pt idx="3">
                  <c:v>Task 44</c:v>
                </c:pt>
                <c:pt idx="4">
                  <c:v>Task 45</c:v>
                </c:pt>
                <c:pt idx="5">
                  <c:v>Task 46</c:v>
                </c:pt>
                <c:pt idx="6">
                  <c:v>Task 47</c:v>
                </c:pt>
                <c:pt idx="7">
                  <c:v>Task 48</c:v>
                </c:pt>
                <c:pt idx="8">
                  <c:v>Task 49</c:v>
                </c:pt>
                <c:pt idx="9">
                  <c:v>Task 50</c:v>
                </c:pt>
              </c:strCache>
            </c:strRef>
          </c:cat>
          <c:val>
            <c:numRef>
              <c:f>'Time Management'!$D$5:$D$14</c:f>
              <c:numCache>
                <c:formatCode>0</c:formatCode>
                <c:ptCount val="10"/>
                <c:pt idx="0">
                  <c:v>8</c:v>
                </c:pt>
                <c:pt idx="1">
                  <c:v>11</c:v>
                </c:pt>
                <c:pt idx="2">
                  <c:v>6</c:v>
                </c:pt>
                <c:pt idx="3">
                  <c:v>7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80-4B02-9032-04376F622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130309320"/>
        <c:axId val="2081144376"/>
      </c:barChart>
      <c:catAx>
        <c:axId val="21303093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1144376"/>
        <c:crosses val="autoZero"/>
        <c:auto val="1"/>
        <c:lblAlgn val="ctr"/>
        <c:lblOffset val="100"/>
        <c:noMultiLvlLbl val="0"/>
      </c:catAx>
      <c:valAx>
        <c:axId val="2081144376"/>
        <c:scaling>
          <c:orientation val="minMax"/>
          <c:min val="4335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309320"/>
        <c:crosses val="autoZero"/>
        <c:crossBetween val="between"/>
        <c:majorUnit val="1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hart" Target="../charts/chart3.xml"/><Relationship Id="rId7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emf"/><Relationship Id="rId5" Type="http://schemas.openxmlformats.org/officeDocument/2006/relationships/chart" Target="../charts/chart5.xml"/><Relationship Id="rId10" Type="http://schemas.openxmlformats.org/officeDocument/2006/relationships/image" Target="../media/image5.emf"/><Relationship Id="rId4" Type="http://schemas.openxmlformats.org/officeDocument/2006/relationships/chart" Target="../charts/chart4.xml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264305</xdr:colOff>
      <xdr:row>0</xdr:row>
      <xdr:rowOff>429651</xdr:rowOff>
    </xdr:from>
    <xdr:to>
      <xdr:col>18</xdr:col>
      <xdr:colOff>318281</xdr:colOff>
      <xdr:row>15</xdr:row>
      <xdr:rowOff>11723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50800</xdr:colOff>
          <xdr:row>1</xdr:row>
          <xdr:rowOff>50800</xdr:rowOff>
        </xdr:from>
        <xdr:to>
          <xdr:col>7</xdr:col>
          <xdr:colOff>1409700</xdr:colOff>
          <xdr:row>2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Productivity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16</xdr:row>
          <xdr:rowOff>38100</xdr:rowOff>
        </xdr:from>
        <xdr:to>
          <xdr:col>6</xdr:col>
          <xdr:colOff>1460500</xdr:colOff>
          <xdr:row>17</xdr:row>
          <xdr:rowOff>127000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Performance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88900</xdr:rowOff>
        </xdr:from>
        <xdr:to>
          <xdr:col>6</xdr:col>
          <xdr:colOff>1460500</xdr:colOff>
          <xdr:row>2</xdr:row>
          <xdr:rowOff>139700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Performance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16</xdr:row>
          <xdr:rowOff>63500</xdr:rowOff>
        </xdr:from>
        <xdr:to>
          <xdr:col>5</xdr:col>
          <xdr:colOff>1371600</xdr:colOff>
          <xdr:row>17</xdr:row>
          <xdr:rowOff>114300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Done/Not Done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1</xdr:row>
          <xdr:rowOff>50800</xdr:rowOff>
        </xdr:from>
        <xdr:to>
          <xdr:col>5</xdr:col>
          <xdr:colOff>1447800</xdr:colOff>
          <xdr:row>2</xdr:row>
          <xdr:rowOff>139700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Done/Not Done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10</xdr:row>
          <xdr:rowOff>165100</xdr:rowOff>
        </xdr:from>
        <xdr:to>
          <xdr:col>7</xdr:col>
          <xdr:colOff>1333500</xdr:colOff>
          <xdr:row>12</xdr:row>
          <xdr:rowOff>76200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</xdr:colOff>
          <xdr:row>16</xdr:row>
          <xdr:rowOff>25400</xdr:rowOff>
        </xdr:from>
        <xdr:to>
          <xdr:col>7</xdr:col>
          <xdr:colOff>1384300</xdr:colOff>
          <xdr:row>17</xdr:row>
          <xdr:rowOff>139700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Productivity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177800</xdr:colOff>
          <xdr:row>25</xdr:row>
          <xdr:rowOff>101600</xdr:rowOff>
        </xdr:from>
        <xdr:to>
          <xdr:col>7</xdr:col>
          <xdr:colOff>1333500</xdr:colOff>
          <xdr:row>27</xdr:row>
          <xdr:rowOff>38100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152400</xdr:colOff>
      <xdr:row>7</xdr:row>
      <xdr:rowOff>38100</xdr:rowOff>
    </xdr:from>
    <xdr:to>
      <xdr:col>7</xdr:col>
      <xdr:colOff>1358900</xdr:colOff>
      <xdr:row>8</xdr:row>
      <xdr:rowOff>88900</xdr:rowOff>
    </xdr:to>
    <xdr:sp macro="" textlink="">
      <xdr:nvSpPr>
        <xdr:cNvPr id="2086" name="CommandButton1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177800</xdr:colOff>
      <xdr:row>52</xdr:row>
      <xdr:rowOff>101600</xdr:rowOff>
    </xdr:from>
    <xdr:to>
      <xdr:col>7</xdr:col>
      <xdr:colOff>1308100</xdr:colOff>
      <xdr:row>53</xdr:row>
      <xdr:rowOff>165100</xdr:rowOff>
    </xdr:to>
    <xdr:sp macro="" textlink="">
      <xdr:nvSpPr>
        <xdr:cNvPr id="2090" name="CommandButton5" hidden="1">
          <a:extLst>
            <a:ext uri="{63B3BB69-23CF-44E3-9099-C40C66FF867C}">
              <a14:compatExt xmlns:a14="http://schemas.microsoft.com/office/drawing/2010/main" spid="_x0000_s2090"/>
            </a:ex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190500</xdr:colOff>
      <xdr:row>67</xdr:row>
      <xdr:rowOff>50800</xdr:rowOff>
    </xdr:from>
    <xdr:to>
      <xdr:col>7</xdr:col>
      <xdr:colOff>1320800</xdr:colOff>
      <xdr:row>68</xdr:row>
      <xdr:rowOff>114300</xdr:rowOff>
    </xdr:to>
    <xdr:sp macro="" textlink="">
      <xdr:nvSpPr>
        <xdr:cNvPr id="2091" name="CommandButton6" hidden="1">
          <a:extLst>
            <a:ext uri="{63B3BB69-23CF-44E3-9099-C40C66FF867C}">
              <a14:compatExt xmlns:a14="http://schemas.microsoft.com/office/drawing/2010/main" spid="_x0000_s2091"/>
            </a:ex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177800</xdr:colOff>
      <xdr:row>37</xdr:row>
      <xdr:rowOff>76200</xdr:rowOff>
    </xdr:from>
    <xdr:to>
      <xdr:col>7</xdr:col>
      <xdr:colOff>1320800</xdr:colOff>
      <xdr:row>38</xdr:row>
      <xdr:rowOff>165100</xdr:rowOff>
    </xdr:to>
    <xdr:sp macro="" textlink="">
      <xdr:nvSpPr>
        <xdr:cNvPr id="2092" name="CommandButton7" hidden="1">
          <a:extLst>
            <a:ext uri="{63B3BB69-23CF-44E3-9099-C40C66FF867C}">
              <a14:compatExt xmlns:a14="http://schemas.microsoft.com/office/drawing/2010/main" spid="_x0000_s2092"/>
            </a:ex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190500</xdr:colOff>
      <xdr:row>22</xdr:row>
      <xdr:rowOff>50800</xdr:rowOff>
    </xdr:from>
    <xdr:to>
      <xdr:col>7</xdr:col>
      <xdr:colOff>1320800</xdr:colOff>
      <xdr:row>23</xdr:row>
      <xdr:rowOff>139700</xdr:rowOff>
    </xdr:to>
    <xdr:sp macro="" textlink="">
      <xdr:nvSpPr>
        <xdr:cNvPr id="2093" name="CommandButton8" hidden="1">
          <a:extLst>
            <a:ext uri="{63B3BB69-23CF-44E3-9099-C40C66FF867C}">
              <a14:compatExt xmlns:a14="http://schemas.microsoft.com/office/drawing/2010/main" spid="_x0000_s2093"/>
            </a:ex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31</xdr:row>
          <xdr:rowOff>63500</xdr:rowOff>
        </xdr:from>
        <xdr:to>
          <xdr:col>5</xdr:col>
          <xdr:colOff>1435100</xdr:colOff>
          <xdr:row>32</xdr:row>
          <xdr:rowOff>139700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Done/Not Done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88900</xdr:colOff>
          <xdr:row>31</xdr:row>
          <xdr:rowOff>63500</xdr:rowOff>
        </xdr:from>
        <xdr:to>
          <xdr:col>7</xdr:col>
          <xdr:colOff>1409700</xdr:colOff>
          <xdr:row>32</xdr:row>
          <xdr:rowOff>139700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Productivity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31</xdr:row>
          <xdr:rowOff>88900</xdr:rowOff>
        </xdr:from>
        <xdr:to>
          <xdr:col>6</xdr:col>
          <xdr:colOff>1435100</xdr:colOff>
          <xdr:row>32</xdr:row>
          <xdr:rowOff>139700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Performance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177800</xdr:colOff>
          <xdr:row>40</xdr:row>
          <xdr:rowOff>101600</xdr:rowOff>
        </xdr:from>
        <xdr:to>
          <xdr:col>7</xdr:col>
          <xdr:colOff>1320800</xdr:colOff>
          <xdr:row>42</xdr:row>
          <xdr:rowOff>12700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</xdr:colOff>
          <xdr:row>46</xdr:row>
          <xdr:rowOff>50800</xdr:rowOff>
        </xdr:from>
        <xdr:to>
          <xdr:col>7</xdr:col>
          <xdr:colOff>1435100</xdr:colOff>
          <xdr:row>47</xdr:row>
          <xdr:rowOff>139700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Productivity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46</xdr:row>
          <xdr:rowOff>63500</xdr:rowOff>
        </xdr:from>
        <xdr:to>
          <xdr:col>6</xdr:col>
          <xdr:colOff>1460500</xdr:colOff>
          <xdr:row>47</xdr:row>
          <xdr:rowOff>139700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Performance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61</xdr:row>
          <xdr:rowOff>76200</xdr:rowOff>
        </xdr:from>
        <xdr:to>
          <xdr:col>5</xdr:col>
          <xdr:colOff>1460500</xdr:colOff>
          <xdr:row>62</xdr:row>
          <xdr:rowOff>152400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Done/Not Done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61</xdr:row>
          <xdr:rowOff>63500</xdr:rowOff>
        </xdr:from>
        <xdr:to>
          <xdr:col>6</xdr:col>
          <xdr:colOff>1460500</xdr:colOff>
          <xdr:row>62</xdr:row>
          <xdr:rowOff>152400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Performance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</xdr:colOff>
          <xdr:row>61</xdr:row>
          <xdr:rowOff>63500</xdr:rowOff>
        </xdr:from>
        <xdr:to>
          <xdr:col>7</xdr:col>
          <xdr:colOff>1397000</xdr:colOff>
          <xdr:row>62</xdr:row>
          <xdr:rowOff>152400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Productivity Update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215900</xdr:colOff>
          <xdr:row>70</xdr:row>
          <xdr:rowOff>88900</xdr:rowOff>
        </xdr:from>
        <xdr:to>
          <xdr:col>7</xdr:col>
          <xdr:colOff>1333500</xdr:colOff>
          <xdr:row>72</xdr:row>
          <xdr:rowOff>12700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177800</xdr:colOff>
          <xdr:row>55</xdr:row>
          <xdr:rowOff>88900</xdr:rowOff>
        </xdr:from>
        <xdr:to>
          <xdr:col>7</xdr:col>
          <xdr:colOff>1308100</xdr:colOff>
          <xdr:row>57</xdr:row>
          <xdr:rowOff>25400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46</xdr:row>
          <xdr:rowOff>63500</xdr:rowOff>
        </xdr:from>
        <xdr:to>
          <xdr:col>5</xdr:col>
          <xdr:colOff>1435100</xdr:colOff>
          <xdr:row>47</xdr:row>
          <xdr:rowOff>152400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Done/Not Done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234461</xdr:colOff>
      <xdr:row>2</xdr:row>
      <xdr:rowOff>152400</xdr:rowOff>
    </xdr:from>
    <xdr:to>
      <xdr:col>7</xdr:col>
      <xdr:colOff>1266092</xdr:colOff>
      <xdr:row>4</xdr:row>
      <xdr:rowOff>70338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800492" y="785446"/>
          <a:ext cx="1031631" cy="3282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300" b="1">
              <a:solidFill>
                <a:schemeClr val="bg1"/>
              </a:solidFill>
            </a:rPr>
            <a:t>Productivity</a:t>
          </a:r>
        </a:p>
        <a:p>
          <a:endParaRPr lang="en-CA" sz="1100"/>
        </a:p>
      </xdr:txBody>
    </xdr:sp>
    <xdr:clientData/>
  </xdr:twoCellAnchor>
  <xdr:twoCellAnchor>
    <xdr:from>
      <xdr:col>8</xdr:col>
      <xdr:colOff>257908</xdr:colOff>
      <xdr:row>16</xdr:row>
      <xdr:rowOff>1</xdr:rowOff>
    </xdr:from>
    <xdr:to>
      <xdr:col>18</xdr:col>
      <xdr:colOff>311884</xdr:colOff>
      <xdr:row>30</xdr:row>
      <xdr:rowOff>4104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257908</xdr:colOff>
      <xdr:row>31</xdr:row>
      <xdr:rowOff>0</xdr:rowOff>
    </xdr:from>
    <xdr:to>
      <xdr:col>18</xdr:col>
      <xdr:colOff>311884</xdr:colOff>
      <xdr:row>45</xdr:row>
      <xdr:rowOff>27548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269630</xdr:colOff>
      <xdr:row>46</xdr:row>
      <xdr:rowOff>0</xdr:rowOff>
    </xdr:from>
    <xdr:to>
      <xdr:col>18</xdr:col>
      <xdr:colOff>323606</xdr:colOff>
      <xdr:row>60</xdr:row>
      <xdr:rowOff>39271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281354</xdr:colOff>
      <xdr:row>61</xdr:row>
      <xdr:rowOff>0</xdr:rowOff>
    </xdr:from>
    <xdr:to>
      <xdr:col>18</xdr:col>
      <xdr:colOff>335330</xdr:colOff>
      <xdr:row>75</xdr:row>
      <xdr:rowOff>39272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7</xdr:col>
      <xdr:colOff>152400</xdr:colOff>
      <xdr:row>7</xdr:row>
      <xdr:rowOff>38100</xdr:rowOff>
    </xdr:from>
    <xdr:to>
      <xdr:col>7</xdr:col>
      <xdr:colOff>1358900</xdr:colOff>
      <xdr:row>8</xdr:row>
      <xdr:rowOff>88900</xdr:rowOff>
    </xdr:to>
    <xdr:pic>
      <xdr:nvPicPr>
        <xdr:cNvPr id="4" name="CommandButton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2800" y="1714500"/>
          <a:ext cx="12065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177800</xdr:colOff>
      <xdr:row>52</xdr:row>
      <xdr:rowOff>101600</xdr:rowOff>
    </xdr:from>
    <xdr:to>
      <xdr:col>7</xdr:col>
      <xdr:colOff>1308100</xdr:colOff>
      <xdr:row>53</xdr:row>
      <xdr:rowOff>165100</xdr:rowOff>
    </xdr:to>
    <xdr:pic>
      <xdr:nvPicPr>
        <xdr:cNvPr id="5" name="CommandButton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8200" y="10680700"/>
          <a:ext cx="11303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190500</xdr:colOff>
      <xdr:row>67</xdr:row>
      <xdr:rowOff>50800</xdr:rowOff>
    </xdr:from>
    <xdr:to>
      <xdr:col>7</xdr:col>
      <xdr:colOff>1320800</xdr:colOff>
      <xdr:row>68</xdr:row>
      <xdr:rowOff>114300</xdr:rowOff>
    </xdr:to>
    <xdr:pic>
      <xdr:nvPicPr>
        <xdr:cNvPr id="6" name="CommandButton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40900" y="13601700"/>
          <a:ext cx="11303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177800</xdr:colOff>
      <xdr:row>37</xdr:row>
      <xdr:rowOff>76200</xdr:rowOff>
    </xdr:from>
    <xdr:to>
      <xdr:col>7</xdr:col>
      <xdr:colOff>1320800</xdr:colOff>
      <xdr:row>38</xdr:row>
      <xdr:rowOff>165100</xdr:rowOff>
    </xdr:to>
    <xdr:pic>
      <xdr:nvPicPr>
        <xdr:cNvPr id="7" name="CommandButton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8200" y="7683500"/>
          <a:ext cx="1143000" cy="279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190500</xdr:colOff>
      <xdr:row>22</xdr:row>
      <xdr:rowOff>50800</xdr:rowOff>
    </xdr:from>
    <xdr:to>
      <xdr:col>7</xdr:col>
      <xdr:colOff>1320800</xdr:colOff>
      <xdr:row>23</xdr:row>
      <xdr:rowOff>139700</xdr:rowOff>
    </xdr:to>
    <xdr:pic>
      <xdr:nvPicPr>
        <xdr:cNvPr id="8" name="CommandButton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40900" y="4686300"/>
          <a:ext cx="1130300" cy="279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143801</xdr:colOff>
      <xdr:row>0</xdr:row>
      <xdr:rowOff>137924</xdr:rowOff>
    </xdr:from>
    <xdr:to>
      <xdr:col>3</xdr:col>
      <xdr:colOff>982579</xdr:colOff>
      <xdr:row>4</xdr:row>
      <xdr:rowOff>40106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427169" y="137924"/>
          <a:ext cx="3987042" cy="704287"/>
        </a:xfrm>
        <a:prstGeom prst="rect">
          <a:avLst/>
        </a:prstGeom>
        <a:ln/>
        <a:effectLst>
          <a:softEdge rad="127000"/>
        </a:effectLst>
        <a:scene3d>
          <a:camera prst="perspectiveFront"/>
          <a:lightRig rig="threePt" dir="t"/>
        </a:scene3d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endParaRPr lang="en-US" sz="1400" b="1" u="none"/>
        </a:p>
        <a:p>
          <a:pPr algn="ctr"/>
          <a:r>
            <a:rPr lang="en-US" sz="1400" b="1" u="none"/>
            <a:t>Welcome</a:t>
          </a:r>
          <a:r>
            <a:rPr lang="en-US" sz="1400" b="1" u="none" baseline="0"/>
            <a:t> to Project Genie, </a:t>
          </a:r>
          <a:r>
            <a:rPr lang="en-US" sz="1400" b="1" i="1" u="none" baseline="0"/>
            <a:t>Decision Support Too</a:t>
          </a:r>
          <a:r>
            <a:rPr lang="en-US" sz="1400" b="1" u="none" baseline="0"/>
            <a:t>l</a:t>
          </a:r>
          <a:r>
            <a:rPr lang="en-US" sz="1100" b="1" u="none" baseline="0"/>
            <a:t>	</a:t>
          </a:r>
          <a:r>
            <a:rPr lang="en-US" sz="1100" b="1" i="1" u="none" baseline="0"/>
            <a:t>			</a:t>
          </a:r>
          <a:endParaRPr lang="en-US" sz="1100" b="1" u="none"/>
        </a:p>
      </xdr:txBody>
    </xdr:sp>
    <xdr:clientData/>
  </xdr:twoCellAnchor>
  <xdr:twoCellAnchor>
    <xdr:from>
      <xdr:col>4</xdr:col>
      <xdr:colOff>133019</xdr:colOff>
      <xdr:row>0</xdr:row>
      <xdr:rowOff>173120</xdr:rowOff>
    </xdr:from>
    <xdr:to>
      <xdr:col>7</xdr:col>
      <xdr:colOff>170448</xdr:colOff>
      <xdr:row>12</xdr:row>
      <xdr:rowOff>170446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078624" y="173120"/>
          <a:ext cx="4408903" cy="2403642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/>
            </a:rPr>
            <a:t>Let's</a:t>
          </a:r>
          <a:r>
            <a:rPr lang="en-US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/>
            </a:rPr>
            <a:t> begin...</a:t>
          </a:r>
        </a:p>
        <a:p>
          <a:endParaRPr lang="en-US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/>
          </a:endParaRPr>
        </a:p>
        <a:p>
          <a:r>
            <a:rPr lang="en-US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/>
            </a:rPr>
            <a:t>1. Write down below your name and  the goal you intend to acheive </a:t>
          </a:r>
        </a:p>
        <a:p>
          <a:endParaRPr lang="en-US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/>
          </a:endParaRPr>
        </a:p>
        <a:p>
          <a:r>
            <a:rPr lang="en-US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/>
            </a:rPr>
            <a:t>2. Now head over to the 'task distribution tool' and  enter below the role you have been assigned</a:t>
          </a:r>
        </a:p>
        <a:p>
          <a:endParaRPr lang="en-US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/>
          </a:endParaRPr>
        </a:p>
        <a:p>
          <a:r>
            <a:rPr lang="en-US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/>
            </a:rPr>
            <a:t>3.) Use this sheet to prioritize tasks by going to your task list and assigning it a number based on how important it is</a:t>
          </a:r>
        </a:p>
      </xdr:txBody>
    </xdr:sp>
    <xdr:clientData/>
  </xdr:twoCellAnchor>
  <xdr:twoCellAnchor>
    <xdr:from>
      <xdr:col>2</xdr:col>
      <xdr:colOff>116058</xdr:colOff>
      <xdr:row>33</xdr:row>
      <xdr:rowOff>20052</xdr:rowOff>
    </xdr:from>
    <xdr:to>
      <xdr:col>3</xdr:col>
      <xdr:colOff>1343526</xdr:colOff>
      <xdr:row>35</xdr:row>
      <xdr:rowOff>200525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2983584" y="6527131"/>
          <a:ext cx="2791574" cy="641683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- Priority: Both</a:t>
          </a:r>
          <a:r>
            <a:rPr lang="en-CA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most important and urgent</a:t>
          </a:r>
          <a:endParaRPr lang="en-CA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r>
            <a:rPr lang="en-CA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- Important</a:t>
          </a:r>
          <a:r>
            <a:rPr lang="en-CA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: important but less urgent</a:t>
          </a:r>
        </a:p>
        <a:p>
          <a:r>
            <a:rPr lang="en-CA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- Others: Both less of priorities and important</a:t>
          </a:r>
          <a:endParaRPr lang="en-CA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70186</xdr:colOff>
      <xdr:row>22</xdr:row>
      <xdr:rowOff>40101</xdr:rowOff>
    </xdr:from>
    <xdr:to>
      <xdr:col>7</xdr:col>
      <xdr:colOff>210553</xdr:colOff>
      <xdr:row>29</xdr:row>
      <xdr:rowOff>160421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6015791" y="4451680"/>
          <a:ext cx="4511841" cy="1584162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cap="none" spc="0">
            <a:ln>
              <a:noFill/>
            </a:ln>
            <a:solidFill>
              <a:schemeClr val="dk1"/>
            </a:solidFill>
            <a:effectLst/>
          </a:endParaRPr>
        </a:p>
        <a:p>
          <a:r>
            <a:rPr lang="en-US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All</a:t>
          </a:r>
          <a:r>
            <a:rPr lang="en-US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members have been assigned to one table where they can record their tasks and rate the importance from 1-10. ( See legend to find out more information ). </a:t>
          </a:r>
        </a:p>
        <a:p>
          <a:endParaRPr lang="en-US" sz="12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r>
            <a:rPr lang="en-US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Scroll down to your selected coloured table based on which "Member #" you are. </a:t>
          </a:r>
          <a:endParaRPr lang="en-US" sz="12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55419</xdr:rowOff>
    </xdr:from>
    <xdr:to>
      <xdr:col>3</xdr:col>
      <xdr:colOff>33136</xdr:colOff>
      <xdr:row>12</xdr:row>
      <xdr:rowOff>46067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0" y="1385455"/>
          <a:ext cx="3981681" cy="891194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altLang="zh-CN" sz="1200" b="0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haroni" panose="02010803020104030203" pitchFamily="2" charset="-79"/>
            </a:rPr>
            <a:t>For</a:t>
          </a:r>
          <a:r>
            <a:rPr lang="en-CA" altLang="zh-CN" sz="1200" b="0" u="sng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haroni" panose="02010803020104030203" pitchFamily="2" charset="-79"/>
            </a:rPr>
            <a:t> this sheet, please enter your Name, your Available Date (1st, 2nd</a:t>
          </a:r>
          <a:r>
            <a:rPr lang="en-CA" altLang="zh-CN" sz="1100" b="0" u="sng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Aharoni" panose="02010803020104030203" pitchFamily="2" charset="-79"/>
            </a:rPr>
            <a:t>...)</a:t>
          </a:r>
          <a:r>
            <a:rPr lang="en-CA" altLang="zh-CN" sz="1200" b="0" u="sng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Aharoni" panose="02010803020104030203" pitchFamily="2" charset="-79"/>
            </a:rPr>
            <a:t> </a:t>
          </a:r>
          <a:r>
            <a:rPr lang="en-CA" altLang="zh-CN" sz="1200" b="0" u="sng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haroni" panose="02010803020104030203" pitchFamily="2" charset="-79"/>
            </a:rPr>
            <a:t>and Time (8am, 9am...), so the tool can determine the best date and time (YES at the end of each row) for the team!</a:t>
          </a:r>
        </a:p>
        <a:p>
          <a:endParaRPr lang="zh-CN" altLang="en-US" sz="1200" u="sng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106680</xdr:rowOff>
    </xdr:from>
    <xdr:to>
      <xdr:col>5</xdr:col>
      <xdr:colOff>243840</xdr:colOff>
      <xdr:row>6</xdr:row>
      <xdr:rowOff>106680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232660" y="106680"/>
          <a:ext cx="2103120" cy="1188720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>
              <a:solidFill>
                <a:schemeClr val="bg1"/>
              </a:solidFill>
            </a:rPr>
            <a:t>Members can click the button called 'Assistance</a:t>
          </a:r>
          <a:r>
            <a:rPr lang="en-CA" sz="1100" baseline="0">
              <a:solidFill>
                <a:schemeClr val="bg1"/>
              </a:solidFill>
            </a:rPr>
            <a:t> Needed'</a:t>
          </a:r>
          <a:r>
            <a:rPr lang="en-CA" sz="1100">
              <a:solidFill>
                <a:schemeClr val="bg1"/>
              </a:solidFill>
            </a:rPr>
            <a:t> in</a:t>
          </a:r>
        </a:p>
        <a:p>
          <a:r>
            <a:rPr lang="en-CA" sz="1100">
              <a:solidFill>
                <a:schemeClr val="bg1"/>
              </a:solidFill>
            </a:rPr>
            <a:t>'Time Management'</a:t>
          </a:r>
          <a:r>
            <a:rPr lang="en-CA" sz="1100" baseline="0">
              <a:solidFill>
                <a:schemeClr val="bg1"/>
              </a:solidFill>
            </a:rPr>
            <a:t> sheet and fill it out so that tasks that need to be helped by other team members can be shown up here</a:t>
          </a:r>
          <a:endParaRPr lang="en-CA" sz="1100">
            <a:solidFill>
              <a:schemeClr val="bg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2EF1A1-5C09-4E8E-9005-C03DB86AB445}" name="Table5" displayName="Table5" ref="E34:K51" totalsRowShown="0" headerRowDxfId="19" headerRowBorderDxfId="18" tableBorderDxfId="17" totalsRowBorderDxfId="16" headerRowCellStyle="Normal 2" dataCellStyle="Normal 2">
  <autoFilter ref="E34:K51" xr:uid="{7FB20459-1250-4520-A17C-CD384204AFA3}"/>
  <tableColumns count="7">
    <tableColumn id="1" xr3:uid="{D9485ACD-A050-488E-9125-F1CCF3C105E5}" name="Time\Name" dataDxfId="15" dataCellStyle="Normal 2"/>
    <tableColumn id="2" xr3:uid="{67E610F9-0609-4311-B844-234C4E0A2EA6}" name="Member1" dataDxfId="14" dataCellStyle="Normal 2"/>
    <tableColumn id="3" xr3:uid="{CA40C787-08D7-4B64-8C67-5B490CCE227A}" name="Member 2" dataDxfId="13" dataCellStyle="Normal 2"/>
    <tableColumn id="4" xr3:uid="{AAD933B7-1DE2-466E-B158-29CDBA4E6EDE}" name="Member 3" dataDxfId="12" dataCellStyle="Normal 2"/>
    <tableColumn id="5" xr3:uid="{71AD76AF-7156-4F43-B96E-5D275B2C2889}" name="Member 4" dataDxfId="11" dataCellStyle="Normal 2"/>
    <tableColumn id="6" xr3:uid="{461289BA-279F-4F31-98AD-D2A5203944ED}" name="Member5" dataDxfId="10" dataCellStyle="Normal 2"/>
    <tableColumn id="7" xr3:uid="{CC356E14-797F-43B4-801D-C14F4317E998}" name="Yes/No" dataDxfId="9" dataCellStyle="Normal 2">
      <calculatedColumnFormula>IF(AND(Table5[[#This Row],[Member1]]+Table5[[#This Row],[Member 2]]+Table5[[#This Row],[Member 3]]+Table5[[#This Row],[Member 4]]=4),"Yes",(IF(Table5[[#This Row],[Member1]]+Table5[[#This Row],[Member 2]]+Table5[[#This Row],[Member 3]]+Table5[[#This Row],[Member 4]]=3,"Likely","No")))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6910EAC-8F94-49C1-A189-FDF7EB6314BD}" name="Table1" displayName="Table1" ref="A1:C6" totalsRowShown="0" tableBorderDxfId="8">
  <autoFilter ref="A1:C6" xr:uid="{539A7396-A7F3-48B6-9611-A90C0F381EBA}"/>
  <sortState xmlns:xlrd2="http://schemas.microsoft.com/office/spreadsheetml/2017/richdata2" ref="A2:C7">
    <sortCondition ref="A1:A7"/>
  </sortState>
  <tableColumns count="3">
    <tableColumn id="1" xr3:uid="{08D9C8EE-F634-4E10-BE94-CB301F3CB93D}" name="Name"/>
    <tableColumn id="2" xr3:uid="{09FEABD8-3171-4B96-BB72-34F6F2460967}" name="Available Date"/>
    <tableColumn id="3" xr3:uid="{3CC88D11-3FB9-4C34-95F8-5BBC82B075CF}" name="Available Time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F769B7-F7FF-4624-B55F-D284B48AE5E6}" name="Table2" displayName="Table2" ref="E1:K32" totalsRowShown="0" tableBorderDxfId="7" headerRowCellStyle="Normal 2" dataCellStyle="Normal 2">
  <autoFilter ref="E1:K32" xr:uid="{83A5D840-5985-4836-B18E-2D04BC586E6E}"/>
  <tableColumns count="7">
    <tableColumn id="1" xr3:uid="{39B00495-7C88-40E4-9FA2-6D8CF5276FC5}" name="Date\Name" dataDxfId="6" dataCellStyle="Normal 2"/>
    <tableColumn id="2" xr3:uid="{AE78B702-F9B5-4E4F-A10A-C6479A943E59}" name="Member1" dataDxfId="5" dataCellStyle="Normal 2"/>
    <tableColumn id="3" xr3:uid="{F4C9BB72-26F6-42A7-B51B-7DA396D1E2F4}" name="Member 2" dataDxfId="4" dataCellStyle="Normal 2"/>
    <tableColumn id="4" xr3:uid="{466CA9D5-A250-4B47-849D-76727D1C712A}" name="Member 3" dataDxfId="3" dataCellStyle="Normal 2"/>
    <tableColumn id="5" xr3:uid="{7FB1587A-217A-444A-933E-F32074C322BA}" name="Member 4" dataDxfId="2" dataCellStyle="Normal 2">
      <calculatedColumnFormula>IF(ISNUMBER(SEARCH(E2,B4)),1)</calculatedColumnFormula>
    </tableColumn>
    <tableColumn id="6" xr3:uid="{F9D09E40-C657-4A75-8B9D-12321E2FF400}" name="Member 5" dataDxfId="1" dataCellStyle="Normal 2">
      <calculatedColumnFormula>IF(ISNUMBER(SEARCH(E2,B5)),1)</calculatedColumnFormula>
    </tableColumn>
    <tableColumn id="7" xr3:uid="{6474F63A-1A42-4340-8941-EE361C64F4D4}" name="Avaible Date" dataDxfId="0" dataCellStyle="Normal 2">
      <calculatedColumnFormula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FEB2C-09BE-46CD-B230-6F9175259F12}">
  <sheetPr codeName="Sheet4"/>
  <dimension ref="A1:T77"/>
  <sheetViews>
    <sheetView tabSelected="1" zoomScale="56" zoomScaleNormal="55" workbookViewId="0">
      <selection activeCell="H53" sqref="H53:H59"/>
    </sheetView>
  </sheetViews>
  <sheetFormatPr baseColWidth="10" defaultColWidth="8" defaultRowHeight="15"/>
  <cols>
    <col min="1" max="2" width="15" style="9" customWidth="1"/>
    <col min="3" max="3" width="15" style="10" customWidth="1"/>
    <col min="4" max="5" width="20.5" style="10" customWidth="1"/>
    <col min="6" max="7" width="19.6640625" style="10" customWidth="1"/>
    <col min="8" max="8" width="20" style="10" customWidth="1"/>
    <col min="9" max="9" width="14.6640625" style="9" customWidth="1"/>
    <col min="10" max="16384" width="8" style="9"/>
  </cols>
  <sheetData>
    <row r="1" spans="1:20" ht="34.25" customHeight="1" thickBot="1">
      <c r="A1" s="133" t="s">
        <v>108</v>
      </c>
      <c r="B1" s="134"/>
      <c r="C1" s="132"/>
      <c r="D1" s="132"/>
      <c r="E1" s="132"/>
      <c r="F1" s="132"/>
      <c r="G1" s="132"/>
      <c r="H1" s="132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</row>
    <row r="2" spans="1:20" ht="15.5" customHeight="1">
      <c r="A2" s="135" t="s">
        <v>151</v>
      </c>
      <c r="B2" s="136"/>
      <c r="C2" s="130"/>
      <c r="D2" s="121"/>
      <c r="E2" s="121"/>
      <c r="F2" s="121"/>
      <c r="G2" s="121"/>
      <c r="H2" s="122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</row>
    <row r="3" spans="1:20" ht="16" thickBot="1">
      <c r="A3" s="137"/>
      <c r="B3" s="138"/>
      <c r="C3" s="131"/>
      <c r="D3" s="123"/>
      <c r="E3" s="123"/>
      <c r="F3" s="123"/>
      <c r="G3" s="123"/>
      <c r="H3" s="124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</row>
    <row r="4" spans="1:20" ht="18">
      <c r="A4" s="33" t="s">
        <v>107</v>
      </c>
      <c r="B4" s="15" t="s">
        <v>106</v>
      </c>
      <c r="C4" s="15" t="s">
        <v>105</v>
      </c>
      <c r="D4" s="15" t="s">
        <v>104</v>
      </c>
      <c r="E4" s="15" t="s">
        <v>103</v>
      </c>
      <c r="F4" s="15" t="s">
        <v>101</v>
      </c>
      <c r="G4" s="15" t="s">
        <v>102</v>
      </c>
      <c r="H4" s="34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</row>
    <row r="5" spans="1:20" ht="16">
      <c r="A5" s="54">
        <v>43378</v>
      </c>
      <c r="B5" s="55">
        <v>43386</v>
      </c>
      <c r="C5" s="56" t="s">
        <v>100</v>
      </c>
      <c r="D5" s="57">
        <f t="shared" ref="D5:D14" si="0">B5-A5</f>
        <v>8</v>
      </c>
      <c r="E5" s="56">
        <v>8</v>
      </c>
      <c r="F5" s="64" t="str">
        <f>IF(AND(D5&gt;E5),"Not Done",(IF(D5=E5,"Done")))</f>
        <v>Done</v>
      </c>
      <c r="G5" s="65">
        <f t="shared" ref="G5:G14" si="1">E5/D5</f>
        <v>1</v>
      </c>
      <c r="H5" s="68">
        <f>SUM(G5:G14)/10</f>
        <v>0.7</v>
      </c>
      <c r="I5" s="125"/>
      <c r="J5" s="125"/>
      <c r="K5" s="125"/>
      <c r="L5" s="125"/>
      <c r="M5" s="125"/>
      <c r="N5" s="125"/>
      <c r="O5" s="125"/>
      <c r="P5" s="125"/>
      <c r="Q5" s="125"/>
      <c r="R5" s="125"/>
      <c r="S5" s="125"/>
      <c r="T5" s="125"/>
    </row>
    <row r="6" spans="1:20" ht="18" customHeight="1">
      <c r="A6" s="54">
        <v>43379</v>
      </c>
      <c r="B6" s="59">
        <v>43390</v>
      </c>
      <c r="C6" s="56" t="s">
        <v>99</v>
      </c>
      <c r="D6" s="57">
        <f t="shared" si="0"/>
        <v>11</v>
      </c>
      <c r="E6" s="56">
        <v>11</v>
      </c>
      <c r="F6" s="64" t="str">
        <f t="shared" ref="F6:F14" si="2">IF(AND(D6&gt;E6),"Not Done",(IF(D6=E6,"Done")))</f>
        <v>Done</v>
      </c>
      <c r="G6" s="65">
        <f t="shared" si="1"/>
        <v>1</v>
      </c>
      <c r="H6" s="34" t="s">
        <v>181</v>
      </c>
      <c r="I6" s="125"/>
      <c r="J6" s="125"/>
      <c r="K6" s="125"/>
      <c r="L6" s="125"/>
      <c r="M6" s="125"/>
      <c r="N6" s="125"/>
      <c r="O6" s="125"/>
      <c r="P6" s="125"/>
      <c r="Q6" s="125"/>
      <c r="R6" s="125"/>
      <c r="S6" s="125"/>
      <c r="T6" s="125"/>
    </row>
    <row r="7" spans="1:20" ht="15.5" customHeight="1">
      <c r="A7" s="54">
        <v>43380</v>
      </c>
      <c r="B7" s="55">
        <v>43386</v>
      </c>
      <c r="C7" s="56" t="s">
        <v>98</v>
      </c>
      <c r="D7" s="57">
        <f t="shared" si="0"/>
        <v>6</v>
      </c>
      <c r="E7" s="56">
        <v>6</v>
      </c>
      <c r="F7" s="64" t="str">
        <f t="shared" si="2"/>
        <v>Done</v>
      </c>
      <c r="G7" s="65">
        <f t="shared" si="1"/>
        <v>1</v>
      </c>
      <c r="H7" s="70" t="str">
        <f>IF(AND(MIN(G5:G14)&lt;=30%),"Need Assistance",(IF(MIN(G5:G14)&lt;=50%,"May Need Assitance",(IF(MIN(G5:G14)&lt;=70%,"Attention Needed","Not Needed")))))</f>
        <v>Need Assistance</v>
      </c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5"/>
    </row>
    <row r="8" spans="1:20" ht="15.5" customHeight="1">
      <c r="A8" s="54">
        <v>43381</v>
      </c>
      <c r="B8" s="59">
        <v>43388</v>
      </c>
      <c r="C8" s="56" t="s">
        <v>97</v>
      </c>
      <c r="D8" s="57">
        <f t="shared" si="0"/>
        <v>7</v>
      </c>
      <c r="E8" s="56">
        <v>7</v>
      </c>
      <c r="F8" s="64" t="str">
        <f t="shared" si="2"/>
        <v>Done</v>
      </c>
      <c r="G8" s="65">
        <f t="shared" si="1"/>
        <v>1</v>
      </c>
      <c r="H8" s="118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</row>
    <row r="9" spans="1:20" ht="15.5" customHeight="1">
      <c r="A9" s="54">
        <v>43382</v>
      </c>
      <c r="B9" s="55">
        <v>43387</v>
      </c>
      <c r="C9" s="56" t="s">
        <v>96</v>
      </c>
      <c r="D9" s="57">
        <f t="shared" si="0"/>
        <v>5</v>
      </c>
      <c r="E9" s="56">
        <v>5</v>
      </c>
      <c r="F9" s="64" t="str">
        <f t="shared" si="2"/>
        <v>Done</v>
      </c>
      <c r="G9" s="65">
        <f t="shared" si="1"/>
        <v>1</v>
      </c>
      <c r="H9" s="119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</row>
    <row r="10" spans="1:20" ht="15.5" customHeight="1">
      <c r="A10" s="54">
        <v>43383</v>
      </c>
      <c r="B10" s="59">
        <v>43388</v>
      </c>
      <c r="C10" s="56" t="s">
        <v>95</v>
      </c>
      <c r="D10" s="57">
        <f t="shared" si="0"/>
        <v>5</v>
      </c>
      <c r="E10" s="56">
        <v>5</v>
      </c>
      <c r="F10" s="64" t="str">
        <f t="shared" si="2"/>
        <v>Done</v>
      </c>
      <c r="G10" s="65">
        <f t="shared" si="1"/>
        <v>1</v>
      </c>
      <c r="H10" s="119"/>
      <c r="I10" s="125"/>
      <c r="J10" s="125"/>
      <c r="K10" s="125"/>
      <c r="L10" s="125"/>
      <c r="M10" s="125"/>
      <c r="N10" s="125"/>
      <c r="O10" s="125"/>
      <c r="P10" s="125"/>
      <c r="Q10" s="125"/>
      <c r="R10" s="125"/>
      <c r="S10" s="125"/>
      <c r="T10" s="125"/>
    </row>
    <row r="11" spans="1:20" ht="15.5" customHeight="1">
      <c r="A11" s="54">
        <v>43384</v>
      </c>
      <c r="B11" s="59">
        <v>43389</v>
      </c>
      <c r="C11" s="56" t="s">
        <v>94</v>
      </c>
      <c r="D11" s="57">
        <f t="shared" si="0"/>
        <v>5</v>
      </c>
      <c r="E11" s="56">
        <v>0</v>
      </c>
      <c r="F11" s="64" t="str">
        <f t="shared" si="2"/>
        <v>Not Done</v>
      </c>
      <c r="G11" s="65">
        <f t="shared" si="1"/>
        <v>0</v>
      </c>
      <c r="H11" s="119"/>
      <c r="I11" s="125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5"/>
    </row>
    <row r="12" spans="1:20" ht="15.5" customHeight="1">
      <c r="A12" s="54">
        <v>43385</v>
      </c>
      <c r="B12" s="59">
        <v>43390</v>
      </c>
      <c r="C12" s="56" t="s">
        <v>93</v>
      </c>
      <c r="D12" s="57">
        <f t="shared" si="0"/>
        <v>5</v>
      </c>
      <c r="E12" s="56">
        <v>5</v>
      </c>
      <c r="F12" s="64" t="str">
        <f t="shared" si="2"/>
        <v>Done</v>
      </c>
      <c r="G12" s="65">
        <f t="shared" si="1"/>
        <v>1</v>
      </c>
      <c r="H12" s="119"/>
      <c r="I12" s="125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5"/>
    </row>
    <row r="13" spans="1:20" ht="15.5" customHeight="1">
      <c r="A13" s="54">
        <v>43386</v>
      </c>
      <c r="B13" s="59">
        <v>43391</v>
      </c>
      <c r="C13" s="56" t="s">
        <v>92</v>
      </c>
      <c r="D13" s="57">
        <f t="shared" si="0"/>
        <v>5</v>
      </c>
      <c r="E13" s="56">
        <v>0</v>
      </c>
      <c r="F13" s="64" t="str">
        <f t="shared" si="2"/>
        <v>Not Done</v>
      </c>
      <c r="G13" s="65">
        <f t="shared" si="1"/>
        <v>0</v>
      </c>
      <c r="H13" s="119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</row>
    <row r="14" spans="1:20" ht="16.25" customHeight="1" thickBot="1">
      <c r="A14" s="54">
        <v>43387</v>
      </c>
      <c r="B14" s="59">
        <v>43392</v>
      </c>
      <c r="C14" s="62" t="s">
        <v>91</v>
      </c>
      <c r="D14" s="63">
        <f t="shared" si="0"/>
        <v>5</v>
      </c>
      <c r="E14" s="62">
        <v>0</v>
      </c>
      <c r="F14" s="66" t="str">
        <f t="shared" si="2"/>
        <v>Not Done</v>
      </c>
      <c r="G14" s="67">
        <f t="shared" si="1"/>
        <v>0</v>
      </c>
      <c r="H14" s="120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</row>
    <row r="15" spans="1:20">
      <c r="H15" s="13"/>
      <c r="I15" s="125"/>
      <c r="J15" s="125"/>
      <c r="K15" s="125"/>
      <c r="L15" s="125"/>
      <c r="M15" s="125"/>
      <c r="N15" s="125"/>
      <c r="O15" s="125"/>
      <c r="P15" s="125"/>
      <c r="Q15" s="125"/>
      <c r="R15" s="125"/>
      <c r="S15" s="125"/>
      <c r="T15" s="125"/>
    </row>
    <row r="16" spans="1:20" ht="16" thickBot="1">
      <c r="I16" s="125"/>
      <c r="J16" s="125"/>
      <c r="K16" s="125"/>
      <c r="L16" s="125"/>
      <c r="M16" s="125"/>
      <c r="N16" s="125"/>
      <c r="O16" s="125"/>
      <c r="P16" s="125"/>
      <c r="Q16" s="125"/>
      <c r="R16" s="125"/>
      <c r="S16" s="125"/>
      <c r="T16" s="125"/>
    </row>
    <row r="17" spans="1:20" ht="15.5" customHeight="1">
      <c r="A17" s="126" t="s">
        <v>88</v>
      </c>
      <c r="B17" s="139"/>
      <c r="C17" s="130"/>
      <c r="D17" s="121"/>
      <c r="E17" s="121"/>
      <c r="F17" s="121"/>
      <c r="G17" s="121"/>
      <c r="H17" s="122"/>
      <c r="I17" s="125"/>
      <c r="J17" s="125"/>
      <c r="K17" s="125"/>
      <c r="L17" s="125"/>
      <c r="M17" s="125"/>
      <c r="N17" s="125"/>
      <c r="O17" s="125"/>
      <c r="P17" s="125"/>
      <c r="Q17" s="125"/>
      <c r="R17" s="125"/>
      <c r="S17" s="125"/>
      <c r="T17" s="125"/>
    </row>
    <row r="18" spans="1:20" ht="16" thickBot="1">
      <c r="A18" s="137"/>
      <c r="B18" s="138"/>
      <c r="C18" s="131"/>
      <c r="D18" s="123"/>
      <c r="E18" s="123"/>
      <c r="F18" s="123"/>
      <c r="G18" s="123"/>
      <c r="H18" s="124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</row>
    <row r="19" spans="1:20" ht="16.75" customHeight="1">
      <c r="A19" s="33" t="s">
        <v>107</v>
      </c>
      <c r="B19" s="15" t="s">
        <v>106</v>
      </c>
      <c r="C19" s="15" t="s">
        <v>105</v>
      </c>
      <c r="D19" s="15" t="s">
        <v>104</v>
      </c>
      <c r="E19" s="15" t="s">
        <v>103</v>
      </c>
      <c r="F19" s="15" t="s">
        <v>101</v>
      </c>
      <c r="G19" s="15" t="s">
        <v>102</v>
      </c>
      <c r="H19" s="34" t="s">
        <v>109</v>
      </c>
      <c r="I19" s="125"/>
      <c r="J19" s="125"/>
      <c r="K19" s="125"/>
      <c r="L19" s="125"/>
      <c r="M19" s="125"/>
      <c r="N19" s="125"/>
      <c r="O19" s="125"/>
      <c r="P19" s="125"/>
      <c r="Q19" s="125"/>
      <c r="R19" s="125"/>
      <c r="S19" s="125"/>
      <c r="T19" s="125"/>
    </row>
    <row r="20" spans="1:20" ht="17.5" customHeight="1">
      <c r="A20" s="58">
        <v>43372</v>
      </c>
      <c r="B20" s="55">
        <v>43373</v>
      </c>
      <c r="C20" s="56" t="s">
        <v>90</v>
      </c>
      <c r="D20" s="56">
        <f>B20-A20</f>
        <v>1</v>
      </c>
      <c r="E20" s="56"/>
      <c r="F20" s="64" t="str">
        <f>IF(AND(D20&gt;E20),"Not Done",(IF(D20=E20,"Done")))</f>
        <v>Not Done</v>
      </c>
      <c r="G20" s="65">
        <f t="shared" ref="G20:G29" si="3">E20/D20</f>
        <v>0</v>
      </c>
      <c r="H20" s="68">
        <f>SUM(G20:G29)/10</f>
        <v>0</v>
      </c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125"/>
    </row>
    <row r="21" spans="1:20" ht="17.5" customHeight="1">
      <c r="A21" s="58">
        <v>43373</v>
      </c>
      <c r="B21" s="59">
        <v>43374</v>
      </c>
      <c r="C21" s="56" t="s">
        <v>112</v>
      </c>
      <c r="D21" s="56">
        <f t="shared" ref="D21:D29" si="4">B21-A21</f>
        <v>1</v>
      </c>
      <c r="E21" s="56"/>
      <c r="F21" s="64" t="str">
        <f t="shared" ref="F21:F29" si="5">IF(AND(D21&gt;E21),"Not Done",(IF(D21=E21,"Done")))</f>
        <v>Not Done</v>
      </c>
      <c r="G21" s="65">
        <f t="shared" si="3"/>
        <v>0</v>
      </c>
      <c r="H21" s="34" t="s">
        <v>181</v>
      </c>
      <c r="I21" s="125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</row>
    <row r="22" spans="1:20" ht="15.5" customHeight="1">
      <c r="A22" s="54">
        <v>43374</v>
      </c>
      <c r="B22" s="55">
        <v>43375</v>
      </c>
      <c r="C22" s="56" t="s">
        <v>113</v>
      </c>
      <c r="D22" s="56">
        <f t="shared" si="4"/>
        <v>1</v>
      </c>
      <c r="E22" s="56"/>
      <c r="F22" s="64" t="str">
        <f t="shared" si="5"/>
        <v>Not Done</v>
      </c>
      <c r="G22" s="65">
        <f t="shared" si="3"/>
        <v>0</v>
      </c>
      <c r="H22" s="72" t="str">
        <f>IF(AND(MIN(G20:G29)&lt;=30%),"Need Assistance",(IF(MIN(G20:G29)&lt;=50%,"May Need Assitance",(IF(MIN(G20:G29)&lt;=70%,"Attention Needed","Not Needed")))))</f>
        <v>Need Assistance</v>
      </c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</row>
    <row r="23" spans="1:20" ht="15.5" customHeight="1">
      <c r="A23" s="58">
        <v>43378</v>
      </c>
      <c r="B23" s="59">
        <v>43388</v>
      </c>
      <c r="C23" s="56" t="s">
        <v>114</v>
      </c>
      <c r="D23" s="56">
        <f t="shared" si="4"/>
        <v>10</v>
      </c>
      <c r="E23" s="56"/>
      <c r="F23" s="64" t="str">
        <f t="shared" si="5"/>
        <v>Not Done</v>
      </c>
      <c r="G23" s="65">
        <f t="shared" si="3"/>
        <v>0</v>
      </c>
      <c r="H23" s="118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5"/>
    </row>
    <row r="24" spans="1:20" ht="15.5" customHeight="1">
      <c r="A24" s="54">
        <v>43377</v>
      </c>
      <c r="B24" s="55">
        <v>43383</v>
      </c>
      <c r="C24" s="56" t="s">
        <v>115</v>
      </c>
      <c r="D24" s="56">
        <f t="shared" si="4"/>
        <v>6</v>
      </c>
      <c r="E24" s="56"/>
      <c r="F24" s="64" t="str">
        <f t="shared" si="5"/>
        <v>Not Done</v>
      </c>
      <c r="G24" s="65">
        <f t="shared" si="3"/>
        <v>0</v>
      </c>
      <c r="H24" s="119"/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</row>
    <row r="25" spans="1:20" ht="15.5" customHeight="1">
      <c r="A25" s="54">
        <v>43378</v>
      </c>
      <c r="B25" s="59">
        <v>43383</v>
      </c>
      <c r="C25" s="56" t="s">
        <v>116</v>
      </c>
      <c r="D25" s="56">
        <f t="shared" si="4"/>
        <v>5</v>
      </c>
      <c r="E25" s="56"/>
      <c r="F25" s="64" t="str">
        <f t="shared" si="5"/>
        <v>Not Done</v>
      </c>
      <c r="G25" s="65">
        <f t="shared" si="3"/>
        <v>0</v>
      </c>
      <c r="H25" s="119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</row>
    <row r="26" spans="1:20" ht="15.5" customHeight="1">
      <c r="A26" s="54">
        <v>43379</v>
      </c>
      <c r="B26" s="55">
        <v>43403</v>
      </c>
      <c r="C26" s="56" t="s">
        <v>117</v>
      </c>
      <c r="D26" s="56">
        <f t="shared" si="4"/>
        <v>24</v>
      </c>
      <c r="E26" s="56"/>
      <c r="F26" s="64" t="str">
        <f t="shared" si="5"/>
        <v>Not Done</v>
      </c>
      <c r="G26" s="65">
        <f t="shared" si="3"/>
        <v>0</v>
      </c>
      <c r="H26" s="119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/>
    </row>
    <row r="27" spans="1:20" ht="15.5" customHeight="1">
      <c r="A27" s="54">
        <v>43380</v>
      </c>
      <c r="B27" s="55">
        <v>43405</v>
      </c>
      <c r="C27" s="56" t="s">
        <v>118</v>
      </c>
      <c r="D27" s="56">
        <f t="shared" si="4"/>
        <v>25</v>
      </c>
      <c r="E27" s="56"/>
      <c r="F27" s="64" t="str">
        <f t="shared" si="5"/>
        <v>Not Done</v>
      </c>
      <c r="G27" s="65">
        <f t="shared" si="3"/>
        <v>0</v>
      </c>
      <c r="H27" s="119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</row>
    <row r="28" spans="1:20" ht="15.5" customHeight="1">
      <c r="A28" s="54">
        <v>43399</v>
      </c>
      <c r="B28" s="55">
        <v>43405</v>
      </c>
      <c r="C28" s="56" t="s">
        <v>119</v>
      </c>
      <c r="D28" s="56">
        <f t="shared" si="4"/>
        <v>6</v>
      </c>
      <c r="E28" s="56"/>
      <c r="F28" s="64" t="str">
        <f t="shared" si="5"/>
        <v>Not Done</v>
      </c>
      <c r="G28" s="65">
        <f t="shared" si="3"/>
        <v>0</v>
      </c>
      <c r="H28" s="119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</row>
    <row r="29" spans="1:20" ht="16.25" customHeight="1" thickBot="1">
      <c r="A29" s="60">
        <v>43419</v>
      </c>
      <c r="B29" s="61">
        <v>43435</v>
      </c>
      <c r="C29" s="62" t="s">
        <v>120</v>
      </c>
      <c r="D29" s="62">
        <f t="shared" si="4"/>
        <v>16</v>
      </c>
      <c r="E29" s="62"/>
      <c r="F29" s="66" t="str">
        <f t="shared" si="5"/>
        <v>Not Done</v>
      </c>
      <c r="G29" s="67">
        <f t="shared" si="3"/>
        <v>0</v>
      </c>
      <c r="H29" s="120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</row>
    <row r="30" spans="1:20">
      <c r="A30" s="12"/>
      <c r="B30" s="12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/>
    </row>
    <row r="31" spans="1:20" ht="16" thickBot="1"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</row>
    <row r="32" spans="1:20" ht="15.5" customHeight="1">
      <c r="A32" s="126" t="s">
        <v>35</v>
      </c>
      <c r="B32" s="139"/>
      <c r="C32" s="130"/>
      <c r="D32" s="121"/>
      <c r="E32" s="121"/>
      <c r="F32" s="121"/>
      <c r="G32" s="121"/>
      <c r="H32" s="122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5"/>
    </row>
    <row r="33" spans="1:20" ht="16" thickBot="1">
      <c r="A33" s="137"/>
      <c r="B33" s="138"/>
      <c r="C33" s="131"/>
      <c r="D33" s="123"/>
      <c r="E33" s="123"/>
      <c r="F33" s="123"/>
      <c r="G33" s="123"/>
      <c r="H33" s="124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/>
    </row>
    <row r="34" spans="1:20" ht="18">
      <c r="A34" s="33" t="s">
        <v>107</v>
      </c>
      <c r="B34" s="15" t="s">
        <v>106</v>
      </c>
      <c r="C34" s="15" t="s">
        <v>105</v>
      </c>
      <c r="D34" s="15" t="s">
        <v>104</v>
      </c>
      <c r="E34" s="15" t="s">
        <v>103</v>
      </c>
      <c r="F34" s="35" t="s">
        <v>101</v>
      </c>
      <c r="G34" s="35" t="s">
        <v>102</v>
      </c>
      <c r="H34" s="36" t="s">
        <v>109</v>
      </c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5"/>
    </row>
    <row r="35" spans="1:20" ht="16">
      <c r="A35" s="58">
        <v>43374</v>
      </c>
      <c r="B35" s="55">
        <v>43375</v>
      </c>
      <c r="C35" s="56" t="s">
        <v>121</v>
      </c>
      <c r="D35" s="56">
        <f>B35-A35</f>
        <v>1</v>
      </c>
      <c r="E35" s="56"/>
      <c r="F35" s="64" t="str">
        <f>IF(AND(D35&gt;E35),"Not Done",(IF(D35=E35,"Done")))</f>
        <v>Not Done</v>
      </c>
      <c r="G35" s="65">
        <f>SUM(F35:F44)/10</f>
        <v>0</v>
      </c>
      <c r="H35" s="68">
        <f>SUM(G35:G44)/10</f>
        <v>0</v>
      </c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/>
      <c r="T35" s="125"/>
    </row>
    <row r="36" spans="1:20" ht="17">
      <c r="A36" s="58">
        <v>43375</v>
      </c>
      <c r="B36" s="59">
        <v>43379</v>
      </c>
      <c r="C36" s="56" t="s">
        <v>124</v>
      </c>
      <c r="D36" s="56">
        <f t="shared" ref="D36:D44" si="6">B36-A36</f>
        <v>4</v>
      </c>
      <c r="E36" s="56"/>
      <c r="F36" s="64" t="str">
        <f t="shared" ref="F36:F44" si="7">IF(AND(D36&gt;E36),"Not Done",(IF(D36=E36,"Done")))</f>
        <v>Not Done</v>
      </c>
      <c r="G36" s="65">
        <f t="shared" ref="G36:G44" si="8">E36/D36</f>
        <v>0</v>
      </c>
      <c r="H36" s="36" t="s">
        <v>181</v>
      </c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</row>
    <row r="37" spans="1:20" ht="15.5" customHeight="1">
      <c r="A37" s="54">
        <v>43375</v>
      </c>
      <c r="B37" s="55">
        <v>43380</v>
      </c>
      <c r="C37" s="56" t="s">
        <v>125</v>
      </c>
      <c r="D37" s="56">
        <f t="shared" si="6"/>
        <v>5</v>
      </c>
      <c r="E37" s="56"/>
      <c r="F37" s="64" t="str">
        <f t="shared" si="7"/>
        <v>Not Done</v>
      </c>
      <c r="G37" s="65">
        <f t="shared" si="8"/>
        <v>0</v>
      </c>
      <c r="H37" s="71" t="str">
        <f>IF(AND(MIN(G35:G44)&lt;=30%),"Need Assistance",(IF(MIN(G35:G44)&lt;=50%,"May Need Assitance",(IF(MIN(G35:G44)&lt;=70%,"Attention Needed","Not Needed")))))</f>
        <v>Need Assistance</v>
      </c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</row>
    <row r="38" spans="1:20" ht="15.5" customHeight="1">
      <c r="A38" s="58">
        <v>43377</v>
      </c>
      <c r="B38" s="59">
        <v>43383</v>
      </c>
      <c r="C38" s="56" t="s">
        <v>126</v>
      </c>
      <c r="D38" s="56">
        <f t="shared" si="6"/>
        <v>6</v>
      </c>
      <c r="E38" s="56"/>
      <c r="F38" s="64" t="str">
        <f t="shared" si="7"/>
        <v>Not Done</v>
      </c>
      <c r="G38" s="65">
        <f t="shared" si="8"/>
        <v>0</v>
      </c>
      <c r="H38" s="118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</row>
    <row r="39" spans="1:20" ht="15.5" customHeight="1">
      <c r="A39" s="58">
        <v>43378</v>
      </c>
      <c r="B39" s="59">
        <v>43384</v>
      </c>
      <c r="C39" s="56" t="s">
        <v>127</v>
      </c>
      <c r="D39" s="56">
        <f t="shared" si="6"/>
        <v>6</v>
      </c>
      <c r="E39" s="56"/>
      <c r="F39" s="64" t="str">
        <f t="shared" si="7"/>
        <v>Not Done</v>
      </c>
      <c r="G39" s="65">
        <f t="shared" si="8"/>
        <v>0</v>
      </c>
      <c r="H39" s="119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</row>
    <row r="40" spans="1:20" ht="15.5" customHeight="1">
      <c r="A40" s="58">
        <v>43379</v>
      </c>
      <c r="B40" s="59">
        <v>43385</v>
      </c>
      <c r="C40" s="56" t="s">
        <v>128</v>
      </c>
      <c r="D40" s="56">
        <f t="shared" si="6"/>
        <v>6</v>
      </c>
      <c r="E40" s="56"/>
      <c r="F40" s="64" t="str">
        <f t="shared" si="7"/>
        <v>Not Done</v>
      </c>
      <c r="G40" s="65">
        <f t="shared" si="8"/>
        <v>0</v>
      </c>
      <c r="H40" s="119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</row>
    <row r="41" spans="1:20" ht="15.5" customHeight="1">
      <c r="A41" s="58">
        <v>43380</v>
      </c>
      <c r="B41" s="59">
        <v>43386</v>
      </c>
      <c r="C41" s="56" t="s">
        <v>129</v>
      </c>
      <c r="D41" s="56">
        <f t="shared" si="6"/>
        <v>6</v>
      </c>
      <c r="E41" s="56"/>
      <c r="F41" s="64" t="str">
        <f t="shared" si="7"/>
        <v>Not Done</v>
      </c>
      <c r="G41" s="65">
        <f t="shared" si="8"/>
        <v>0</v>
      </c>
      <c r="H41" s="119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</row>
    <row r="42" spans="1:20" ht="15.5" customHeight="1">
      <c r="A42" s="58">
        <v>43381</v>
      </c>
      <c r="B42" s="59">
        <v>43387</v>
      </c>
      <c r="C42" s="56" t="s">
        <v>130</v>
      </c>
      <c r="D42" s="56">
        <f t="shared" si="6"/>
        <v>6</v>
      </c>
      <c r="E42" s="56"/>
      <c r="F42" s="64" t="str">
        <f t="shared" si="7"/>
        <v>Not Done</v>
      </c>
      <c r="G42" s="65">
        <f t="shared" si="8"/>
        <v>0</v>
      </c>
      <c r="H42" s="119"/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/>
      <c r="T42" s="125"/>
    </row>
    <row r="43" spans="1:20" ht="15.5" customHeight="1">
      <c r="A43" s="58">
        <v>43382</v>
      </c>
      <c r="B43" s="59">
        <v>43388</v>
      </c>
      <c r="C43" s="56" t="s">
        <v>131</v>
      </c>
      <c r="D43" s="56">
        <f t="shared" si="6"/>
        <v>6</v>
      </c>
      <c r="E43" s="56"/>
      <c r="F43" s="64" t="str">
        <f t="shared" si="7"/>
        <v>Not Done</v>
      </c>
      <c r="G43" s="65">
        <f t="shared" si="8"/>
        <v>0</v>
      </c>
      <c r="H43" s="119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</row>
    <row r="44" spans="1:20" ht="16.25" customHeight="1" thickBot="1">
      <c r="A44" s="85">
        <v>43383</v>
      </c>
      <c r="B44" s="86">
        <v>43389</v>
      </c>
      <c r="C44" s="62" t="s">
        <v>132</v>
      </c>
      <c r="D44" s="62">
        <f t="shared" si="6"/>
        <v>6</v>
      </c>
      <c r="E44" s="62"/>
      <c r="F44" s="66" t="str">
        <f t="shared" si="7"/>
        <v>Not Done</v>
      </c>
      <c r="G44" s="67">
        <f t="shared" si="8"/>
        <v>0</v>
      </c>
      <c r="H44" s="120"/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/>
      <c r="T44" s="125"/>
    </row>
    <row r="45" spans="1:20"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/>
      <c r="T45" s="125"/>
    </row>
    <row r="46" spans="1:20" ht="16" thickBot="1"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</row>
    <row r="47" spans="1:20">
      <c r="A47" s="126" t="s">
        <v>36</v>
      </c>
      <c r="B47" s="140"/>
      <c r="C47" s="121"/>
      <c r="D47" s="121"/>
      <c r="E47" s="121"/>
      <c r="F47" s="121"/>
      <c r="G47" s="121"/>
      <c r="H47" s="122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</row>
    <row r="48" spans="1:20" ht="16" thickBot="1">
      <c r="A48" s="141"/>
      <c r="B48" s="142"/>
      <c r="C48" s="123"/>
      <c r="D48" s="123"/>
      <c r="E48" s="123"/>
      <c r="F48" s="123"/>
      <c r="G48" s="123"/>
      <c r="H48" s="124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</row>
    <row r="49" spans="1:20" ht="18">
      <c r="A49" s="33" t="s">
        <v>107</v>
      </c>
      <c r="B49" s="15" t="s">
        <v>106</v>
      </c>
      <c r="C49" s="15" t="s">
        <v>105</v>
      </c>
      <c r="D49" s="15" t="s">
        <v>104</v>
      </c>
      <c r="E49" s="15" t="s">
        <v>103</v>
      </c>
      <c r="F49" s="15" t="s">
        <v>101</v>
      </c>
      <c r="G49" s="15" t="s">
        <v>102</v>
      </c>
      <c r="H49" s="34" t="s">
        <v>109</v>
      </c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</row>
    <row r="50" spans="1:20" ht="16">
      <c r="A50" s="58">
        <v>43374</v>
      </c>
      <c r="B50" s="55">
        <v>43375</v>
      </c>
      <c r="C50" s="56" t="s">
        <v>133</v>
      </c>
      <c r="D50" s="57">
        <f>B50-A50</f>
        <v>1</v>
      </c>
      <c r="E50" s="56"/>
      <c r="F50" s="64" t="str">
        <f>IF(AND(D50&gt;E50),"Not Done",(IF(D50=E50,"Done")))</f>
        <v>Not Done</v>
      </c>
      <c r="G50" s="65">
        <f t="shared" ref="G50:G59" si="9">E50/D50</f>
        <v>0</v>
      </c>
      <c r="H50" s="68">
        <f>SUM(G50:G59)/10</f>
        <v>0</v>
      </c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</row>
    <row r="51" spans="1:20" ht="17.5" customHeight="1">
      <c r="A51" s="58">
        <v>43375</v>
      </c>
      <c r="B51" s="59">
        <v>43377</v>
      </c>
      <c r="C51" s="56" t="s">
        <v>137</v>
      </c>
      <c r="D51" s="57">
        <f t="shared" ref="D51:D59" si="10">B51-A51</f>
        <v>2</v>
      </c>
      <c r="E51" s="56"/>
      <c r="F51" s="64" t="str">
        <f t="shared" ref="F51:F59" si="11">IF(AND(D51&gt;E51),"Not Done",(IF(D51=E51,"Done")))</f>
        <v>Not Done</v>
      </c>
      <c r="G51" s="65">
        <f t="shared" si="9"/>
        <v>0</v>
      </c>
      <c r="H51" s="34" t="s">
        <v>181</v>
      </c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  <c r="T51" s="125"/>
    </row>
    <row r="52" spans="1:20" ht="15.5" customHeight="1">
      <c r="A52" s="58">
        <v>43376</v>
      </c>
      <c r="B52" s="59">
        <v>43378</v>
      </c>
      <c r="C52" s="56" t="s">
        <v>139</v>
      </c>
      <c r="D52" s="57">
        <f t="shared" si="10"/>
        <v>2</v>
      </c>
      <c r="E52" s="56"/>
      <c r="F52" s="64" t="str">
        <f t="shared" si="11"/>
        <v>Not Done</v>
      </c>
      <c r="G52" s="65">
        <f t="shared" si="9"/>
        <v>0</v>
      </c>
      <c r="H52" s="71" t="str">
        <f>IF(AND(MIN(G50:G59)&lt;=30%),"Need Assistance",(IF(MIN(G50:G59)&lt;=50%,"May Need Assitance",(IF(MIN(G50:G59)&lt;=70%,"Attention Needed","Not Needed")))))</f>
        <v>Need Assistance</v>
      </c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  <c r="T52" s="125"/>
    </row>
    <row r="53" spans="1:20" ht="15.5" customHeight="1">
      <c r="A53" s="58">
        <v>43377</v>
      </c>
      <c r="B53" s="59">
        <v>43379</v>
      </c>
      <c r="C53" s="56" t="s">
        <v>138</v>
      </c>
      <c r="D53" s="57">
        <f t="shared" si="10"/>
        <v>2</v>
      </c>
      <c r="E53" s="56"/>
      <c r="F53" s="64" t="str">
        <f t="shared" si="11"/>
        <v>Not Done</v>
      </c>
      <c r="G53" s="65">
        <f t="shared" si="9"/>
        <v>0</v>
      </c>
      <c r="H53" s="119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</row>
    <row r="54" spans="1:20" ht="15.5" customHeight="1">
      <c r="A54" s="58">
        <v>43378</v>
      </c>
      <c r="B54" s="59">
        <v>43380</v>
      </c>
      <c r="C54" s="56" t="s">
        <v>134</v>
      </c>
      <c r="D54" s="57">
        <f t="shared" si="10"/>
        <v>2</v>
      </c>
      <c r="E54" s="56"/>
      <c r="F54" s="64" t="str">
        <f t="shared" si="11"/>
        <v>Not Done</v>
      </c>
      <c r="G54" s="65">
        <f t="shared" si="9"/>
        <v>0</v>
      </c>
      <c r="H54" s="119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</row>
    <row r="55" spans="1:20" ht="15.5" customHeight="1">
      <c r="A55" s="58">
        <v>43379</v>
      </c>
      <c r="B55" s="59">
        <v>43381</v>
      </c>
      <c r="C55" s="56" t="s">
        <v>140</v>
      </c>
      <c r="D55" s="57">
        <f t="shared" si="10"/>
        <v>2</v>
      </c>
      <c r="E55" s="56"/>
      <c r="F55" s="64" t="str">
        <f t="shared" si="11"/>
        <v>Not Done</v>
      </c>
      <c r="G55" s="65">
        <f t="shared" si="9"/>
        <v>0</v>
      </c>
      <c r="H55" s="119"/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</row>
    <row r="56" spans="1:20" ht="15.5" customHeight="1">
      <c r="A56" s="58">
        <v>43380</v>
      </c>
      <c r="B56" s="59">
        <v>43382</v>
      </c>
      <c r="C56" s="56" t="s">
        <v>135</v>
      </c>
      <c r="D56" s="57">
        <f t="shared" si="10"/>
        <v>2</v>
      </c>
      <c r="E56" s="56"/>
      <c r="F56" s="64" t="str">
        <f t="shared" si="11"/>
        <v>Not Done</v>
      </c>
      <c r="G56" s="65">
        <f t="shared" si="9"/>
        <v>0</v>
      </c>
      <c r="H56" s="119"/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  <c r="T56" s="125"/>
    </row>
    <row r="57" spans="1:20" ht="15.5" customHeight="1">
      <c r="A57" s="58">
        <v>43381</v>
      </c>
      <c r="B57" s="59">
        <v>43383</v>
      </c>
      <c r="C57" s="56" t="s">
        <v>136</v>
      </c>
      <c r="D57" s="57">
        <f t="shared" si="10"/>
        <v>2</v>
      </c>
      <c r="E57" s="56"/>
      <c r="F57" s="64" t="str">
        <f t="shared" si="11"/>
        <v>Not Done</v>
      </c>
      <c r="G57" s="65">
        <f t="shared" si="9"/>
        <v>0</v>
      </c>
      <c r="H57" s="119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</row>
    <row r="58" spans="1:20" ht="15.5" customHeight="1">
      <c r="A58" s="58">
        <v>43382</v>
      </c>
      <c r="B58" s="59">
        <v>43384</v>
      </c>
      <c r="C58" s="56" t="s">
        <v>141</v>
      </c>
      <c r="D58" s="57">
        <f t="shared" si="10"/>
        <v>2</v>
      </c>
      <c r="E58" s="56"/>
      <c r="F58" s="64" t="str">
        <f t="shared" si="11"/>
        <v>Not Done</v>
      </c>
      <c r="G58" s="65">
        <f t="shared" si="9"/>
        <v>0</v>
      </c>
      <c r="H58" s="119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</row>
    <row r="59" spans="1:20" ht="16.25" customHeight="1" thickBot="1">
      <c r="A59" s="85">
        <v>43383</v>
      </c>
      <c r="B59" s="86">
        <v>43385</v>
      </c>
      <c r="C59" s="62" t="s">
        <v>142</v>
      </c>
      <c r="D59" s="63">
        <f t="shared" si="10"/>
        <v>2</v>
      </c>
      <c r="E59" s="62"/>
      <c r="F59" s="66" t="str">
        <f t="shared" si="11"/>
        <v>Not Done</v>
      </c>
      <c r="G59" s="67">
        <f t="shared" si="9"/>
        <v>0</v>
      </c>
      <c r="H59" s="120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  <c r="T59" s="125"/>
    </row>
    <row r="60" spans="1:20"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</row>
    <row r="61" spans="1:20" ht="16" thickBot="1"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</row>
    <row r="62" spans="1:20">
      <c r="A62" s="126" t="s">
        <v>37</v>
      </c>
      <c r="B62" s="127"/>
      <c r="C62" s="121"/>
      <c r="D62" s="121"/>
      <c r="E62" s="121"/>
      <c r="F62" s="121"/>
      <c r="G62" s="121"/>
      <c r="H62" s="122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</row>
    <row r="63" spans="1:20" ht="16" thickBot="1">
      <c r="A63" s="128"/>
      <c r="B63" s="129"/>
      <c r="C63" s="123"/>
      <c r="D63" s="123"/>
      <c r="E63" s="123"/>
      <c r="F63" s="123"/>
      <c r="G63" s="123"/>
      <c r="H63" s="124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</row>
    <row r="64" spans="1:20" ht="18">
      <c r="A64" s="33" t="s">
        <v>107</v>
      </c>
      <c r="B64" s="15" t="s">
        <v>106</v>
      </c>
      <c r="C64" s="15" t="s">
        <v>105</v>
      </c>
      <c r="D64" s="15" t="s">
        <v>104</v>
      </c>
      <c r="E64" s="15" t="s">
        <v>103</v>
      </c>
      <c r="F64" s="15" t="s">
        <v>101</v>
      </c>
      <c r="G64" s="15" t="s">
        <v>102</v>
      </c>
      <c r="H64" s="34" t="s">
        <v>109</v>
      </c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</row>
    <row r="65" spans="1:20" ht="16">
      <c r="A65" s="58">
        <v>43374</v>
      </c>
      <c r="B65" s="55">
        <v>43375</v>
      </c>
      <c r="C65" s="56" t="s">
        <v>143</v>
      </c>
      <c r="D65" s="56">
        <f>B65-A65</f>
        <v>1</v>
      </c>
      <c r="E65" s="56"/>
      <c r="F65" s="64" t="str">
        <f>IF(AND(D65&gt;E65),"Not Done",(IF(D65=E65,"Done")))</f>
        <v>Not Done</v>
      </c>
      <c r="G65" s="65">
        <f t="shared" ref="G65:G74" si="12">E65/D65</f>
        <v>0</v>
      </c>
      <c r="H65" s="68">
        <f>SUM(G65:G74)/10</f>
        <v>0</v>
      </c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</row>
    <row r="66" spans="1:20" ht="17">
      <c r="A66" s="58">
        <v>43375</v>
      </c>
      <c r="B66" s="59">
        <v>43379</v>
      </c>
      <c r="C66" s="56" t="s">
        <v>144</v>
      </c>
      <c r="D66" s="56">
        <f t="shared" ref="D66:D74" si="13">B66-A66</f>
        <v>4</v>
      </c>
      <c r="E66" s="56"/>
      <c r="F66" s="64" t="str">
        <f t="shared" ref="F66:F74" si="14">IF(AND(D66&gt;E66),"Not Done",(IF(D66=E66,"Done")))</f>
        <v>Not Done</v>
      </c>
      <c r="G66" s="65">
        <f t="shared" si="12"/>
        <v>0</v>
      </c>
      <c r="H66" s="69" t="s">
        <v>181</v>
      </c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  <c r="T66" s="125"/>
    </row>
    <row r="67" spans="1:20" ht="15.5" customHeight="1">
      <c r="A67" s="58">
        <v>43376</v>
      </c>
      <c r="B67" s="59">
        <v>43380</v>
      </c>
      <c r="C67" s="56" t="s">
        <v>145</v>
      </c>
      <c r="D67" s="56">
        <f t="shared" si="13"/>
        <v>4</v>
      </c>
      <c r="E67" s="56"/>
      <c r="F67" s="64" t="str">
        <f t="shared" si="14"/>
        <v>Not Done</v>
      </c>
      <c r="G67" s="65">
        <f t="shared" si="12"/>
        <v>0</v>
      </c>
      <c r="H67" s="73" t="str">
        <f>IF(AND(MIN(G65:G74)&lt;=50%),"May Need Assistance",(IF(MIN(G65:G74)&lt;=70%,"Attention Needed","Not Needed")))</f>
        <v>May Need Assistance</v>
      </c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  <c r="T67" s="125"/>
    </row>
    <row r="68" spans="1:20" ht="15.5" customHeight="1">
      <c r="A68" s="58">
        <v>43377</v>
      </c>
      <c r="B68" s="59">
        <v>43381</v>
      </c>
      <c r="C68" s="56" t="s">
        <v>146</v>
      </c>
      <c r="D68" s="56">
        <f t="shared" si="13"/>
        <v>4</v>
      </c>
      <c r="E68" s="56"/>
      <c r="F68" s="64" t="str">
        <f t="shared" si="14"/>
        <v>Not Done</v>
      </c>
      <c r="G68" s="65">
        <f t="shared" si="12"/>
        <v>0</v>
      </c>
      <c r="H68" s="118"/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/>
      <c r="T68" s="125"/>
    </row>
    <row r="69" spans="1:20" ht="15.5" customHeight="1">
      <c r="A69" s="54">
        <v>43377</v>
      </c>
      <c r="B69" s="59">
        <v>43382</v>
      </c>
      <c r="C69" s="56" t="s">
        <v>122</v>
      </c>
      <c r="D69" s="56">
        <f t="shared" si="13"/>
        <v>5</v>
      </c>
      <c r="E69" s="56"/>
      <c r="F69" s="64" t="str">
        <f t="shared" si="14"/>
        <v>Not Done</v>
      </c>
      <c r="G69" s="65">
        <f t="shared" si="12"/>
        <v>0</v>
      </c>
      <c r="H69" s="119"/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</row>
    <row r="70" spans="1:20" ht="15.5" customHeight="1">
      <c r="A70" s="54">
        <v>43378</v>
      </c>
      <c r="B70" s="59">
        <v>43383</v>
      </c>
      <c r="C70" s="56" t="s">
        <v>147</v>
      </c>
      <c r="D70" s="56">
        <f t="shared" si="13"/>
        <v>5</v>
      </c>
      <c r="E70" s="56"/>
      <c r="F70" s="64" t="str">
        <f t="shared" si="14"/>
        <v>Not Done</v>
      </c>
      <c r="G70" s="65">
        <f t="shared" si="12"/>
        <v>0</v>
      </c>
      <c r="H70" s="119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</row>
    <row r="71" spans="1:20" ht="15.5" customHeight="1">
      <c r="A71" s="54">
        <v>43379</v>
      </c>
      <c r="B71" s="59">
        <v>43384</v>
      </c>
      <c r="C71" s="56" t="s">
        <v>123</v>
      </c>
      <c r="D71" s="56">
        <f t="shared" si="13"/>
        <v>5</v>
      </c>
      <c r="E71" s="56"/>
      <c r="F71" s="64" t="str">
        <f t="shared" si="14"/>
        <v>Not Done</v>
      </c>
      <c r="G71" s="65">
        <f t="shared" si="12"/>
        <v>0</v>
      </c>
      <c r="H71" s="119"/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  <c r="T71" s="125"/>
    </row>
    <row r="72" spans="1:20" ht="15.5" customHeight="1">
      <c r="A72" s="54">
        <v>43380</v>
      </c>
      <c r="B72" s="59">
        <v>43385</v>
      </c>
      <c r="C72" s="56" t="s">
        <v>148</v>
      </c>
      <c r="D72" s="56">
        <f t="shared" si="13"/>
        <v>5</v>
      </c>
      <c r="E72" s="56"/>
      <c r="F72" s="64" t="str">
        <f t="shared" si="14"/>
        <v>Not Done</v>
      </c>
      <c r="G72" s="65">
        <f t="shared" si="12"/>
        <v>0</v>
      </c>
      <c r="H72" s="119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</row>
    <row r="73" spans="1:20" ht="15.5" customHeight="1">
      <c r="A73" s="54">
        <v>43381</v>
      </c>
      <c r="B73" s="59">
        <v>43386</v>
      </c>
      <c r="C73" s="56" t="s">
        <v>149</v>
      </c>
      <c r="D73" s="56">
        <f t="shared" si="13"/>
        <v>5</v>
      </c>
      <c r="E73" s="56"/>
      <c r="F73" s="64" t="str">
        <f t="shared" si="14"/>
        <v>Not Done</v>
      </c>
      <c r="G73" s="65">
        <f t="shared" si="12"/>
        <v>0</v>
      </c>
      <c r="H73" s="119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</row>
    <row r="74" spans="1:20" ht="16.25" customHeight="1" thickBot="1">
      <c r="A74" s="54">
        <v>43382</v>
      </c>
      <c r="B74" s="59">
        <v>43387</v>
      </c>
      <c r="C74" s="62" t="s">
        <v>150</v>
      </c>
      <c r="D74" s="62">
        <f t="shared" si="13"/>
        <v>5</v>
      </c>
      <c r="E74" s="62"/>
      <c r="F74" s="66" t="str">
        <f t="shared" si="14"/>
        <v>Not Done</v>
      </c>
      <c r="G74" s="67">
        <f t="shared" si="12"/>
        <v>0</v>
      </c>
      <c r="H74" s="120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</row>
    <row r="75" spans="1:20"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</row>
    <row r="76" spans="1:20"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</row>
    <row r="77" spans="1:20"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  <c r="T77" s="125"/>
    </row>
  </sheetData>
  <mergeCells count="23">
    <mergeCell ref="I1:T77"/>
    <mergeCell ref="A62:B63"/>
    <mergeCell ref="C47:E48"/>
    <mergeCell ref="C32:E33"/>
    <mergeCell ref="C62:E63"/>
    <mergeCell ref="C1:H1"/>
    <mergeCell ref="A1:B1"/>
    <mergeCell ref="C2:E3"/>
    <mergeCell ref="C17:E18"/>
    <mergeCell ref="A2:B3"/>
    <mergeCell ref="A17:B18"/>
    <mergeCell ref="A32:B33"/>
    <mergeCell ref="A47:B48"/>
    <mergeCell ref="H68:H74"/>
    <mergeCell ref="H8:H14"/>
    <mergeCell ref="H53:H59"/>
    <mergeCell ref="H38:H44"/>
    <mergeCell ref="H23:H29"/>
    <mergeCell ref="F62:H63"/>
    <mergeCell ref="F2:H3"/>
    <mergeCell ref="F17:H18"/>
    <mergeCell ref="F32:H33"/>
    <mergeCell ref="F47:H48"/>
  </mergeCells>
  <phoneticPr fontId="6" type="noConversion"/>
  <conditionalFormatting sqref="H4 H8">
    <cfRule type="containsText" dxfId="67" priority="59" operator="containsText" text="C">
      <formula>NOT(ISERROR(SEARCH("C",H4)))</formula>
    </cfRule>
    <cfRule type="containsText" dxfId="66" priority="60" operator="containsText" text="B">
      <formula>NOT(ISERROR(SEARCH("B",H4)))</formula>
    </cfRule>
    <cfRule type="containsText" dxfId="65" priority="61" operator="containsText" text="A">
      <formula>NOT(ISERROR(SEARCH("A",H4)))</formula>
    </cfRule>
  </conditionalFormatting>
  <dataValidations count="1">
    <dataValidation type="date" allowBlank="1" showInputMessage="1" showErrorMessage="1" errorTitle="A Date must be Selected" promptTitle="Select a Date" sqref="A20:B29 A65:B74 A35:B44 A50:B59 A5:B14" xr:uid="{00000000-0002-0000-0000-000000000000}">
      <formula1>42370</formula1>
      <formula2>44196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Button8_Click">
                <anchor moveWithCells="1" sizeWithCells="1">
                  <from>
                    <xdr:col>7</xdr:col>
                    <xdr:colOff>50800</xdr:colOff>
                    <xdr:row>1</xdr:row>
                    <xdr:rowOff>50800</xdr:rowOff>
                  </from>
                  <to>
                    <xdr:col>7</xdr:col>
                    <xdr:colOff>1409700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Button10_Click">
                <anchor moveWithCells="1" sizeWithCells="1">
                  <from>
                    <xdr:col>6</xdr:col>
                    <xdr:colOff>50800</xdr:colOff>
                    <xdr:row>16</xdr:row>
                    <xdr:rowOff>38100</xdr:rowOff>
                  </from>
                  <to>
                    <xdr:col>6</xdr:col>
                    <xdr:colOff>1460500</xdr:colOff>
                    <xdr:row>17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print="0" autoFill="0" autoPict="0" macro="[0]!Button12_Click">
                <anchor moveWithCells="1" sizeWithCells="1">
                  <from>
                    <xdr:col>6</xdr:col>
                    <xdr:colOff>50800</xdr:colOff>
                    <xdr:row>1</xdr:row>
                    <xdr:rowOff>88900</xdr:rowOff>
                  </from>
                  <to>
                    <xdr:col>6</xdr:col>
                    <xdr:colOff>1460500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" name="Button 23">
              <controlPr defaultSize="0" print="0" autoFill="0" autoPict="0" macro="[0]!Button23_Click">
                <anchor moveWithCells="1" sizeWithCells="1">
                  <from>
                    <xdr:col>5</xdr:col>
                    <xdr:colOff>63500</xdr:colOff>
                    <xdr:row>16</xdr:row>
                    <xdr:rowOff>63500</xdr:rowOff>
                  </from>
                  <to>
                    <xdr:col>5</xdr:col>
                    <xdr:colOff>1371600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Button28_Click">
                <anchor moveWithCells="1" sizeWithCells="1">
                  <from>
                    <xdr:col>5</xdr:col>
                    <xdr:colOff>88900</xdr:colOff>
                    <xdr:row>1</xdr:row>
                    <xdr:rowOff>50800</xdr:rowOff>
                  </from>
                  <to>
                    <xdr:col>5</xdr:col>
                    <xdr:colOff>1447800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9" name="Button 29">
              <controlPr defaultSize="0" print="0" autoFill="0" autoPict="0" macro="[0]!Button29_Click">
                <anchor moveWithCells="1" sizeWithCells="1">
                  <from>
                    <xdr:col>7</xdr:col>
                    <xdr:colOff>190500</xdr:colOff>
                    <xdr:row>10</xdr:row>
                    <xdr:rowOff>165100</xdr:rowOff>
                  </from>
                  <to>
                    <xdr:col>7</xdr:col>
                    <xdr:colOff>1333500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0" name="Button 33">
              <controlPr defaultSize="0" print="0" autoFill="0" autoPict="0" macro="[0]!Button33_Click">
                <anchor moveWithCells="1" sizeWithCells="1">
                  <from>
                    <xdr:col>7</xdr:col>
                    <xdr:colOff>63500</xdr:colOff>
                    <xdr:row>16</xdr:row>
                    <xdr:rowOff>25400</xdr:rowOff>
                  </from>
                  <to>
                    <xdr:col>7</xdr:col>
                    <xdr:colOff>1384300</xdr:colOff>
                    <xdr:row>17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1" name="Button 34">
              <controlPr defaultSize="0" print="0" autoFill="0" autoPict="0" macro="[0]!Button34_Click">
                <anchor moveWithCells="1" sizeWithCells="1">
                  <from>
                    <xdr:col>7</xdr:col>
                    <xdr:colOff>177800</xdr:colOff>
                    <xdr:row>25</xdr:row>
                    <xdr:rowOff>101600</xdr:rowOff>
                  </from>
                  <to>
                    <xdr:col>7</xdr:col>
                    <xdr:colOff>1333500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Button46_Click">
                <anchor moveWithCells="1" sizeWithCells="1">
                  <from>
                    <xdr:col>5</xdr:col>
                    <xdr:colOff>63500</xdr:colOff>
                    <xdr:row>31</xdr:row>
                    <xdr:rowOff>63500</xdr:rowOff>
                  </from>
                  <to>
                    <xdr:col>5</xdr:col>
                    <xdr:colOff>1435100</xdr:colOff>
                    <xdr:row>32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13" name="Button 51">
              <controlPr defaultSize="0" print="0" autoFill="0" autoPict="0" macro="[0]!Button51_Click">
                <anchor moveWithCells="1" sizeWithCells="1">
                  <from>
                    <xdr:col>7</xdr:col>
                    <xdr:colOff>88900</xdr:colOff>
                    <xdr:row>31</xdr:row>
                    <xdr:rowOff>63500</xdr:rowOff>
                  </from>
                  <to>
                    <xdr:col>7</xdr:col>
                    <xdr:colOff>1409700</xdr:colOff>
                    <xdr:row>32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4" name="Button 54">
              <controlPr defaultSize="0" print="0" autoFill="0" autoPict="0" macro="[0]!Button54_Click">
                <anchor moveWithCells="1" sizeWithCells="1">
                  <from>
                    <xdr:col>6</xdr:col>
                    <xdr:colOff>38100</xdr:colOff>
                    <xdr:row>31</xdr:row>
                    <xdr:rowOff>88900</xdr:rowOff>
                  </from>
                  <to>
                    <xdr:col>6</xdr:col>
                    <xdr:colOff>1435100</xdr:colOff>
                    <xdr:row>32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5" name="Button 55">
              <controlPr defaultSize="0" print="0" autoFill="0" autoPict="0" macro="[0]!Button55_Click">
                <anchor moveWithCells="1" sizeWithCells="1">
                  <from>
                    <xdr:col>7</xdr:col>
                    <xdr:colOff>177800</xdr:colOff>
                    <xdr:row>40</xdr:row>
                    <xdr:rowOff>101600</xdr:rowOff>
                  </from>
                  <to>
                    <xdr:col>7</xdr:col>
                    <xdr:colOff>1320800</xdr:colOff>
                    <xdr:row>42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16" name="Button 59">
              <controlPr defaultSize="0" print="0" autoFill="0" autoPict="0" macro="[0]!Button59_Click">
                <anchor moveWithCells="1" sizeWithCells="1">
                  <from>
                    <xdr:col>7</xdr:col>
                    <xdr:colOff>63500</xdr:colOff>
                    <xdr:row>46</xdr:row>
                    <xdr:rowOff>50800</xdr:rowOff>
                  </from>
                  <to>
                    <xdr:col>7</xdr:col>
                    <xdr:colOff>1435100</xdr:colOff>
                    <xdr:row>47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17" name="Button 60">
              <controlPr defaultSize="0" print="0" autoFill="0" autoPict="0" macro="[0]!Button60_Click">
                <anchor moveWithCells="1" sizeWithCells="1">
                  <from>
                    <xdr:col>6</xdr:col>
                    <xdr:colOff>50800</xdr:colOff>
                    <xdr:row>46</xdr:row>
                    <xdr:rowOff>63500</xdr:rowOff>
                  </from>
                  <to>
                    <xdr:col>6</xdr:col>
                    <xdr:colOff>1460500</xdr:colOff>
                    <xdr:row>47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18" name="Button 61">
              <controlPr defaultSize="0" print="0" autoFill="0" autoPict="0" macro="[0]!Button61_Click">
                <anchor moveWithCells="1" sizeWithCells="1">
                  <from>
                    <xdr:col>5</xdr:col>
                    <xdr:colOff>88900</xdr:colOff>
                    <xdr:row>61</xdr:row>
                    <xdr:rowOff>76200</xdr:rowOff>
                  </from>
                  <to>
                    <xdr:col>5</xdr:col>
                    <xdr:colOff>1460500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19" name="Button 62">
              <controlPr defaultSize="0" print="0" autoFill="0" autoPict="0" macro="[0]!Button62_Click">
                <anchor moveWithCells="1" sizeWithCells="1">
                  <from>
                    <xdr:col>6</xdr:col>
                    <xdr:colOff>38100</xdr:colOff>
                    <xdr:row>61</xdr:row>
                    <xdr:rowOff>63500</xdr:rowOff>
                  </from>
                  <to>
                    <xdr:col>6</xdr:col>
                    <xdr:colOff>1460500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0" name="Button 64">
              <controlPr defaultSize="0" print="0" autoFill="0" autoPict="0" macro="[0]!Button64_Click">
                <anchor moveWithCells="1" sizeWithCells="1">
                  <from>
                    <xdr:col>7</xdr:col>
                    <xdr:colOff>63500</xdr:colOff>
                    <xdr:row>61</xdr:row>
                    <xdr:rowOff>63500</xdr:rowOff>
                  </from>
                  <to>
                    <xdr:col>7</xdr:col>
                    <xdr:colOff>1397000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1" name="Button 65">
              <controlPr defaultSize="0" print="0" autoFill="0" autoPict="0" macro="[0]!Button65_Click">
                <anchor moveWithCells="1" sizeWithCells="1">
                  <from>
                    <xdr:col>7</xdr:col>
                    <xdr:colOff>215900</xdr:colOff>
                    <xdr:row>70</xdr:row>
                    <xdr:rowOff>88900</xdr:rowOff>
                  </from>
                  <to>
                    <xdr:col>7</xdr:col>
                    <xdr:colOff>1333500</xdr:colOff>
                    <xdr:row>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2" name="Button 66">
              <controlPr defaultSize="0" print="0" autoFill="0" autoPict="0" macro="[0]!Button66_Click">
                <anchor moveWithCells="1" sizeWithCells="1">
                  <from>
                    <xdr:col>7</xdr:col>
                    <xdr:colOff>177800</xdr:colOff>
                    <xdr:row>55</xdr:row>
                    <xdr:rowOff>88900</xdr:rowOff>
                  </from>
                  <to>
                    <xdr:col>7</xdr:col>
                    <xdr:colOff>1308100</xdr:colOff>
                    <xdr:row>57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3" name="Button 67">
              <controlPr defaultSize="0" print="0" autoFill="0" autoPict="0" macro="[0]!Button67_Click">
                <anchor moveWithCells="1" sizeWithCells="1">
                  <from>
                    <xdr:col>5</xdr:col>
                    <xdr:colOff>88900</xdr:colOff>
                    <xdr:row>46</xdr:row>
                    <xdr:rowOff>63500</xdr:rowOff>
                  </from>
                  <to>
                    <xdr:col>5</xdr:col>
                    <xdr:colOff>1435100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AA87D-A272-904C-8EA3-3E7D7A4F5DFA}">
  <sheetPr codeName="Sheet1"/>
  <dimension ref="A1:AA49"/>
  <sheetViews>
    <sheetView zoomScale="76" zoomScaleNormal="99" workbookViewId="0">
      <selection activeCell="H44" sqref="H44"/>
    </sheetView>
  </sheetViews>
  <sheetFormatPr baseColWidth="10" defaultColWidth="4.33203125" defaultRowHeight="16"/>
  <cols>
    <col min="1" max="1" width="16.83203125" customWidth="1"/>
    <col min="2" max="2" width="20.83203125" customWidth="1"/>
    <col min="3" max="3" width="20.5" customWidth="1"/>
    <col min="4" max="4" width="20.33203125" customWidth="1"/>
    <col min="5" max="5" width="19.33203125" customWidth="1"/>
    <col min="6" max="6" width="19.1640625" customWidth="1"/>
    <col min="7" max="7" width="18.83203125" customWidth="1"/>
    <col min="8" max="8" width="19.6640625" customWidth="1"/>
    <col min="9" max="9" width="19.1640625" customWidth="1"/>
    <col min="10" max="10" width="19.83203125" customWidth="1"/>
    <col min="16" max="16" width="19.5" customWidth="1"/>
    <col min="17" max="17" width="9.83203125" customWidth="1"/>
    <col min="18" max="18" width="22.33203125" customWidth="1"/>
    <col min="24" max="24" width="13" customWidth="1"/>
    <col min="25" max="25" width="25.5" customWidth="1"/>
  </cols>
  <sheetData>
    <row r="1" spans="1:27">
      <c r="A1" s="74"/>
      <c r="B1" s="74"/>
      <c r="C1" s="74"/>
      <c r="D1" s="74"/>
      <c r="E1" s="74"/>
      <c r="F1" s="74"/>
      <c r="G1" s="74"/>
      <c r="H1" s="74"/>
    </row>
    <row r="2" spans="1:27">
      <c r="A2" s="74"/>
      <c r="B2" s="74"/>
      <c r="C2" s="74"/>
      <c r="D2" s="74"/>
      <c r="E2" s="74"/>
      <c r="F2" s="74"/>
      <c r="G2" s="74"/>
      <c r="H2" s="74"/>
    </row>
    <row r="3" spans="1:27">
      <c r="A3" s="74"/>
      <c r="B3" s="74"/>
      <c r="C3" s="74"/>
      <c r="D3" s="74"/>
      <c r="E3" s="74"/>
      <c r="F3" s="74"/>
      <c r="G3" s="74"/>
      <c r="H3" s="74"/>
    </row>
    <row r="4" spans="1:27">
      <c r="A4" s="74"/>
      <c r="B4" s="74"/>
      <c r="C4" s="74"/>
      <c r="D4" s="74"/>
      <c r="E4" s="74"/>
      <c r="F4" s="74"/>
      <c r="G4" s="74"/>
      <c r="H4" s="74"/>
    </row>
    <row r="5" spans="1:27" ht="17" thickBot="1">
      <c r="A5" s="74"/>
      <c r="B5" s="74"/>
      <c r="C5" s="74"/>
      <c r="D5" s="74"/>
      <c r="E5" s="74"/>
      <c r="F5" s="74"/>
      <c r="G5" s="74"/>
      <c r="H5" s="74"/>
    </row>
    <row r="6" spans="1:27">
      <c r="A6" s="102" t="s">
        <v>4</v>
      </c>
      <c r="B6" s="103" t="s">
        <v>5</v>
      </c>
      <c r="C6" s="74"/>
      <c r="D6" s="74"/>
      <c r="E6" s="74"/>
      <c r="F6" s="74"/>
      <c r="G6" s="74"/>
      <c r="H6" s="74"/>
      <c r="X6" s="1"/>
      <c r="Y6" s="1"/>
    </row>
    <row r="7" spans="1:27">
      <c r="A7" s="104">
        <v>1</v>
      </c>
      <c r="B7" s="105" t="s">
        <v>6</v>
      </c>
      <c r="C7" s="74"/>
      <c r="D7" s="74"/>
      <c r="E7" s="74"/>
      <c r="F7" s="74"/>
      <c r="G7" s="74"/>
      <c r="H7" s="74"/>
      <c r="X7" s="1"/>
      <c r="Y7" s="2"/>
    </row>
    <row r="8" spans="1:27">
      <c r="A8" s="104"/>
      <c r="B8" s="105" t="s">
        <v>7</v>
      </c>
      <c r="C8" s="74"/>
      <c r="D8" s="74"/>
      <c r="E8" s="74"/>
      <c r="F8" s="74"/>
      <c r="G8" s="74"/>
      <c r="H8" s="74"/>
      <c r="X8" s="2"/>
      <c r="Y8" s="2"/>
      <c r="Z8" s="1"/>
      <c r="AA8" s="1"/>
    </row>
    <row r="9" spans="1:27">
      <c r="A9" s="104"/>
      <c r="B9" s="105" t="s">
        <v>8</v>
      </c>
      <c r="C9" s="74"/>
      <c r="D9" s="74"/>
      <c r="E9" s="74"/>
      <c r="F9" s="74"/>
      <c r="G9" s="74"/>
      <c r="H9" s="74"/>
      <c r="X9" s="2"/>
      <c r="Y9" s="2"/>
      <c r="Z9" s="1"/>
      <c r="AA9" s="2"/>
    </row>
    <row r="10" spans="1:27">
      <c r="A10" s="106">
        <v>2</v>
      </c>
      <c r="B10" s="107" t="s">
        <v>9</v>
      </c>
      <c r="C10" s="74"/>
      <c r="D10" s="74"/>
      <c r="E10" s="74"/>
      <c r="F10" s="74"/>
      <c r="G10" s="74"/>
      <c r="H10" s="74"/>
      <c r="X10" s="2"/>
      <c r="Y10" s="2"/>
      <c r="Z10" s="2"/>
      <c r="AA10" s="2"/>
    </row>
    <row r="11" spans="1:27">
      <c r="A11" s="108">
        <v>3</v>
      </c>
      <c r="B11" s="109" t="s">
        <v>10</v>
      </c>
      <c r="C11" s="74"/>
      <c r="D11" s="74"/>
      <c r="E11" s="74"/>
      <c r="F11" s="74"/>
      <c r="G11" s="74"/>
      <c r="H11" s="74"/>
      <c r="X11" s="2"/>
      <c r="Y11" s="2"/>
      <c r="Z11" s="2"/>
      <c r="AA11" s="2"/>
    </row>
    <row r="12" spans="1:27" ht="17" thickBot="1">
      <c r="A12" s="110">
        <v>4</v>
      </c>
      <c r="B12" s="111" t="s">
        <v>178</v>
      </c>
      <c r="C12" s="74"/>
      <c r="D12" s="74"/>
      <c r="E12" s="74"/>
      <c r="F12" s="74"/>
      <c r="G12" s="74"/>
      <c r="H12" s="74"/>
      <c r="X12" s="2"/>
      <c r="Y12" s="2"/>
      <c r="Z12" s="2"/>
      <c r="AA12" s="2"/>
    </row>
    <row r="13" spans="1:27" ht="17" thickBot="1">
      <c r="C13" s="74"/>
      <c r="D13" s="74"/>
      <c r="E13" s="74"/>
      <c r="F13" s="74"/>
      <c r="G13" s="74"/>
      <c r="H13" s="74"/>
      <c r="Z13" s="2"/>
      <c r="AA13" s="2"/>
    </row>
    <row r="14" spans="1:27">
      <c r="A14" s="112" t="s">
        <v>3</v>
      </c>
      <c r="B14" s="113" t="s">
        <v>0</v>
      </c>
      <c r="C14" s="113" t="s">
        <v>1</v>
      </c>
      <c r="D14" s="114" t="s">
        <v>2</v>
      </c>
      <c r="E14" s="11"/>
      <c r="Z14" s="2"/>
      <c r="AA14" s="2"/>
    </row>
    <row r="15" spans="1:27">
      <c r="A15" s="22">
        <v>1</v>
      </c>
      <c r="B15" s="51"/>
      <c r="C15" s="51"/>
      <c r="D15" s="115"/>
    </row>
    <row r="16" spans="1:27">
      <c r="A16" s="16">
        <v>2</v>
      </c>
      <c r="B16" s="51"/>
      <c r="C16" s="51"/>
      <c r="D16" s="115"/>
    </row>
    <row r="17" spans="1:5">
      <c r="A17" s="26">
        <v>3</v>
      </c>
      <c r="B17" s="51"/>
      <c r="C17" s="51"/>
      <c r="D17" s="115"/>
    </row>
    <row r="18" spans="1:5">
      <c r="A18" s="28">
        <v>4</v>
      </c>
      <c r="B18" s="51"/>
      <c r="C18" s="51"/>
      <c r="D18" s="115"/>
    </row>
    <row r="19" spans="1:5" ht="17" thickBot="1">
      <c r="A19" s="116">
        <v>5</v>
      </c>
      <c r="B19" s="117"/>
      <c r="C19" s="117"/>
      <c r="D19" s="95"/>
    </row>
    <row r="22" spans="1:5" ht="17" thickBot="1"/>
    <row r="23" spans="1:5" ht="19">
      <c r="A23" s="96" t="s">
        <v>11</v>
      </c>
      <c r="B23" s="99" t="s">
        <v>17</v>
      </c>
      <c r="C23" s="93" t="s">
        <v>27</v>
      </c>
      <c r="D23" s="94" t="s">
        <v>28</v>
      </c>
      <c r="E23" s="32"/>
    </row>
    <row r="24" spans="1:5" ht="17" thickBot="1">
      <c r="A24" s="97" t="s">
        <v>110</v>
      </c>
      <c r="B24" s="100" t="s">
        <v>18</v>
      </c>
      <c r="C24" s="53" t="s">
        <v>165</v>
      </c>
      <c r="D24" s="95" t="str">
        <f>IF(AND(C24="Problem Solving"),"PS",(IF(C24=A24,B28,IF(C24=A31,B29,IF(C24=A25,B24,IF(C24=A26,B27,IF(C24=A28,B26,IF(C24=A29,B26,IF(C24=A30,B28)))))))))</f>
        <v>OT</v>
      </c>
    </row>
    <row r="25" spans="1:5">
      <c r="A25" s="97" t="s">
        <v>12</v>
      </c>
      <c r="B25" s="100" t="s">
        <v>19</v>
      </c>
      <c r="C25" s="32"/>
      <c r="D25" s="32"/>
    </row>
    <row r="26" spans="1:5" ht="19">
      <c r="A26" s="97" t="s">
        <v>13</v>
      </c>
      <c r="B26" s="100" t="s">
        <v>20</v>
      </c>
      <c r="C26" s="32"/>
      <c r="D26" s="4" t="s">
        <v>22</v>
      </c>
    </row>
    <row r="27" spans="1:5">
      <c r="A27" s="97" t="s">
        <v>14</v>
      </c>
      <c r="B27" s="100" t="s">
        <v>21</v>
      </c>
      <c r="C27" s="32"/>
      <c r="D27" s="3" t="s">
        <v>23</v>
      </c>
    </row>
    <row r="28" spans="1:5">
      <c r="A28" s="97" t="s">
        <v>15</v>
      </c>
      <c r="B28" s="100" t="s">
        <v>30</v>
      </c>
      <c r="C28" s="32"/>
      <c r="D28" s="3" t="s">
        <v>24</v>
      </c>
    </row>
    <row r="29" spans="1:5">
      <c r="A29" s="97" t="s">
        <v>16</v>
      </c>
      <c r="B29" s="100" t="s">
        <v>179</v>
      </c>
      <c r="C29" s="32"/>
      <c r="D29" s="3" t="s">
        <v>25</v>
      </c>
    </row>
    <row r="30" spans="1:5">
      <c r="A30" s="97" t="s">
        <v>177</v>
      </c>
      <c r="B30" s="100"/>
      <c r="C30" s="48"/>
      <c r="D30" s="3" t="s">
        <v>26</v>
      </c>
    </row>
    <row r="31" spans="1:5" ht="17" thickBot="1">
      <c r="A31" s="98" t="s">
        <v>165</v>
      </c>
      <c r="B31" s="101"/>
      <c r="C31" s="2"/>
      <c r="D31" s="3" t="s">
        <v>29</v>
      </c>
    </row>
    <row r="32" spans="1:5" ht="19">
      <c r="C32" s="49"/>
      <c r="D32" s="3" t="s">
        <v>180</v>
      </c>
    </row>
    <row r="33" spans="1:10" ht="17" thickBot="1"/>
    <row r="34" spans="1:10" ht="19">
      <c r="A34" s="87" t="s">
        <v>161</v>
      </c>
      <c r="B34" s="88" t="s">
        <v>164</v>
      </c>
      <c r="C34" s="49"/>
    </row>
    <row r="35" spans="1:10" ht="19">
      <c r="A35" s="89" t="s">
        <v>162</v>
      </c>
      <c r="B35" s="90" t="s">
        <v>166</v>
      </c>
      <c r="C35" s="49"/>
    </row>
    <row r="36" spans="1:10" ht="20" thickBot="1">
      <c r="A36" s="91" t="s">
        <v>163</v>
      </c>
      <c r="B36" s="92" t="s">
        <v>165</v>
      </c>
    </row>
    <row r="37" spans="1:10" ht="17" thickBot="1"/>
    <row r="38" spans="1:10">
      <c r="A38" s="149" t="s">
        <v>31</v>
      </c>
      <c r="B38" s="150"/>
      <c r="C38" s="151" t="s">
        <v>34</v>
      </c>
      <c r="D38" s="152"/>
      <c r="E38" s="147" t="s">
        <v>35</v>
      </c>
      <c r="F38" s="148"/>
      <c r="G38" s="145" t="s">
        <v>36</v>
      </c>
      <c r="H38" s="146"/>
      <c r="I38" s="143" t="s">
        <v>37</v>
      </c>
      <c r="J38" s="144"/>
    </row>
    <row r="39" spans="1:10">
      <c r="A39" s="22" t="s">
        <v>32</v>
      </c>
      <c r="B39" s="23" t="s">
        <v>33</v>
      </c>
      <c r="C39" s="16" t="s">
        <v>38</v>
      </c>
      <c r="D39" s="17" t="s">
        <v>39</v>
      </c>
      <c r="E39" s="26" t="s">
        <v>40</v>
      </c>
      <c r="F39" s="27" t="s">
        <v>39</v>
      </c>
      <c r="G39" s="28" t="s">
        <v>40</v>
      </c>
      <c r="H39" s="29" t="s">
        <v>39</v>
      </c>
      <c r="I39" s="30" t="s">
        <v>40</v>
      </c>
      <c r="J39" s="31" t="s">
        <v>39</v>
      </c>
    </row>
    <row r="40" spans="1:10">
      <c r="A40" s="52" t="s">
        <v>100</v>
      </c>
      <c r="B40" s="19">
        <v>7</v>
      </c>
      <c r="C40" s="52" t="s">
        <v>90</v>
      </c>
      <c r="D40" s="19">
        <v>1</v>
      </c>
      <c r="E40" s="52" t="s">
        <v>121</v>
      </c>
      <c r="F40" s="19">
        <v>1</v>
      </c>
      <c r="G40" s="18" t="s">
        <v>133</v>
      </c>
      <c r="H40" s="19">
        <v>4</v>
      </c>
      <c r="I40" s="52" t="s">
        <v>143</v>
      </c>
      <c r="J40" s="19">
        <v>2</v>
      </c>
    </row>
    <row r="41" spans="1:10">
      <c r="A41" s="52" t="s">
        <v>99</v>
      </c>
      <c r="B41" s="24">
        <v>2</v>
      </c>
      <c r="C41" s="52" t="s">
        <v>112</v>
      </c>
      <c r="D41" s="19">
        <v>5</v>
      </c>
      <c r="E41" s="52" t="s">
        <v>124</v>
      </c>
      <c r="F41" s="19">
        <v>4</v>
      </c>
      <c r="G41" s="18" t="s">
        <v>137</v>
      </c>
      <c r="H41" s="19">
        <v>6</v>
      </c>
      <c r="I41" s="52" t="s">
        <v>144</v>
      </c>
      <c r="J41" s="19">
        <v>4</v>
      </c>
    </row>
    <row r="42" spans="1:10">
      <c r="A42" s="52" t="s">
        <v>98</v>
      </c>
      <c r="B42" s="24">
        <v>5</v>
      </c>
      <c r="C42" s="52" t="s">
        <v>113</v>
      </c>
      <c r="D42" s="19">
        <v>7</v>
      </c>
      <c r="E42" s="52" t="s">
        <v>125</v>
      </c>
      <c r="F42" s="19">
        <v>3</v>
      </c>
      <c r="G42" s="18" t="s">
        <v>139</v>
      </c>
      <c r="H42" s="19">
        <v>7</v>
      </c>
      <c r="I42" s="52" t="s">
        <v>145</v>
      </c>
      <c r="J42" s="19">
        <v>6</v>
      </c>
    </row>
    <row r="43" spans="1:10">
      <c r="A43" s="52" t="s">
        <v>97</v>
      </c>
      <c r="B43" s="24">
        <v>6</v>
      </c>
      <c r="C43" s="52" t="s">
        <v>114</v>
      </c>
      <c r="D43" s="19">
        <v>8</v>
      </c>
      <c r="E43" s="52" t="s">
        <v>126</v>
      </c>
      <c r="F43" s="19">
        <v>5</v>
      </c>
      <c r="G43" s="18" t="s">
        <v>138</v>
      </c>
      <c r="H43" s="19">
        <v>1</v>
      </c>
      <c r="I43" s="52" t="s">
        <v>146</v>
      </c>
      <c r="J43" s="19">
        <v>8</v>
      </c>
    </row>
    <row r="44" spans="1:10">
      <c r="A44" s="52" t="s">
        <v>96</v>
      </c>
      <c r="B44" s="24">
        <v>8</v>
      </c>
      <c r="C44" s="52" t="s">
        <v>115</v>
      </c>
      <c r="D44" s="19">
        <v>2</v>
      </c>
      <c r="E44" s="52" t="s">
        <v>127</v>
      </c>
      <c r="F44" s="19">
        <v>2</v>
      </c>
      <c r="G44" s="18" t="s">
        <v>134</v>
      </c>
      <c r="H44" s="19">
        <v>2</v>
      </c>
      <c r="I44" s="52" t="s">
        <v>122</v>
      </c>
      <c r="J44" s="19">
        <v>10</v>
      </c>
    </row>
    <row r="45" spans="1:10">
      <c r="A45" s="52" t="s">
        <v>95</v>
      </c>
      <c r="B45" s="24">
        <v>3</v>
      </c>
      <c r="C45" s="52" t="s">
        <v>116</v>
      </c>
      <c r="D45" s="19">
        <v>10</v>
      </c>
      <c r="E45" s="52" t="s">
        <v>128</v>
      </c>
      <c r="F45" s="19">
        <v>8</v>
      </c>
      <c r="G45" s="18" t="s">
        <v>140</v>
      </c>
      <c r="H45" s="19">
        <v>9</v>
      </c>
      <c r="I45" s="52" t="s">
        <v>147</v>
      </c>
      <c r="J45" s="19">
        <v>2</v>
      </c>
    </row>
    <row r="46" spans="1:10">
      <c r="A46" s="52" t="s">
        <v>94</v>
      </c>
      <c r="B46" s="24">
        <v>10</v>
      </c>
      <c r="C46" s="52" t="s">
        <v>117</v>
      </c>
      <c r="D46" s="19">
        <v>7</v>
      </c>
      <c r="E46" s="52" t="s">
        <v>129</v>
      </c>
      <c r="F46" s="19">
        <v>7</v>
      </c>
      <c r="G46" s="18" t="s">
        <v>135</v>
      </c>
      <c r="H46" s="19">
        <v>5</v>
      </c>
      <c r="I46" s="52" t="s">
        <v>123</v>
      </c>
      <c r="J46" s="19">
        <v>4</v>
      </c>
    </row>
    <row r="47" spans="1:10">
      <c r="A47" s="52" t="s">
        <v>93</v>
      </c>
      <c r="B47" s="24">
        <v>9</v>
      </c>
      <c r="C47" s="52" t="s">
        <v>118</v>
      </c>
      <c r="D47" s="19">
        <v>8</v>
      </c>
      <c r="E47" s="52" t="s">
        <v>130</v>
      </c>
      <c r="F47" s="19">
        <v>6</v>
      </c>
      <c r="G47" s="18" t="s">
        <v>136</v>
      </c>
      <c r="H47" s="19">
        <v>10</v>
      </c>
      <c r="I47" s="52" t="s">
        <v>148</v>
      </c>
      <c r="J47" s="19">
        <v>7</v>
      </c>
    </row>
    <row r="48" spans="1:10">
      <c r="A48" s="52" t="s">
        <v>92</v>
      </c>
      <c r="B48" s="24">
        <v>6</v>
      </c>
      <c r="C48" s="52" t="s">
        <v>119</v>
      </c>
      <c r="D48" s="19">
        <v>4</v>
      </c>
      <c r="E48" s="52" t="s">
        <v>131</v>
      </c>
      <c r="F48" s="19">
        <v>9</v>
      </c>
      <c r="G48" s="18" t="s">
        <v>141</v>
      </c>
      <c r="H48" s="19">
        <v>1</v>
      </c>
      <c r="I48" s="52" t="s">
        <v>149</v>
      </c>
      <c r="J48" s="19">
        <v>9</v>
      </c>
    </row>
    <row r="49" spans="1:10" ht="17" thickBot="1">
      <c r="A49" s="53" t="s">
        <v>91</v>
      </c>
      <c r="B49" s="25">
        <v>1</v>
      </c>
      <c r="C49" s="53" t="s">
        <v>120</v>
      </c>
      <c r="D49" s="21">
        <v>10</v>
      </c>
      <c r="E49" s="53" t="s">
        <v>132</v>
      </c>
      <c r="F49" s="21">
        <v>10</v>
      </c>
      <c r="G49" s="20" t="s">
        <v>142</v>
      </c>
      <c r="H49" s="21">
        <v>6</v>
      </c>
      <c r="I49" s="53" t="s">
        <v>150</v>
      </c>
      <c r="J49" s="21">
        <v>5</v>
      </c>
    </row>
  </sheetData>
  <mergeCells count="5">
    <mergeCell ref="I38:J38"/>
    <mergeCell ref="G38:H38"/>
    <mergeCell ref="E38:F38"/>
    <mergeCell ref="A38:B38"/>
    <mergeCell ref="C38:D38"/>
  </mergeCells>
  <phoneticPr fontId="6" type="noConversion"/>
  <conditionalFormatting sqref="B40:B49">
    <cfRule type="cellIs" dxfId="64" priority="16" operator="greaterThan">
      <formula>7</formula>
    </cfRule>
    <cfRule type="cellIs" dxfId="63" priority="17" operator="lessThan">
      <formula>4</formula>
    </cfRule>
    <cfRule type="cellIs" dxfId="62" priority="18" operator="between">
      <formula>4</formula>
      <formula>7</formula>
    </cfRule>
    <cfRule type="cellIs" dxfId="61" priority="19" operator="lessThan">
      <formula>4</formula>
    </cfRule>
    <cfRule type="cellIs" dxfId="60" priority="20" operator="greaterThan">
      <formula>8</formula>
    </cfRule>
    <cfRule type="cellIs" dxfId="59" priority="37" operator="between">
      <formula>0</formula>
      <formula>4</formula>
    </cfRule>
    <cfRule type="cellIs" dxfId="58" priority="40" operator="between">
      <formula>8</formula>
      <formula>10</formula>
    </cfRule>
  </conditionalFormatting>
  <conditionalFormatting sqref="D35 B40:B50">
    <cfRule type="cellIs" dxfId="57" priority="39" operator="between">
      <formula>5</formula>
      <formula>7</formula>
    </cfRule>
  </conditionalFormatting>
  <conditionalFormatting sqref="B40:B49">
    <cfRule type="cellIs" dxfId="56" priority="38" operator="between">
      <formula>1</formula>
      <formula>4</formula>
    </cfRule>
  </conditionalFormatting>
  <conditionalFormatting sqref="D40:D49">
    <cfRule type="cellIs" dxfId="55" priority="13" operator="between">
      <formula>4</formula>
      <formula>7</formula>
    </cfRule>
    <cfRule type="cellIs" dxfId="54" priority="14" operator="lessThan">
      <formula>4</formula>
    </cfRule>
    <cfRule type="cellIs" dxfId="53" priority="15" operator="greaterThan">
      <formula>7</formula>
    </cfRule>
    <cfRule type="cellIs" dxfId="52" priority="32" operator="between">
      <formula>1</formula>
      <formula>4</formula>
    </cfRule>
    <cfRule type="cellIs" dxfId="51" priority="33" operator="between">
      <formula>1</formula>
      <formula>4</formula>
    </cfRule>
    <cfRule type="cellIs" dxfId="50" priority="34" operator="between">
      <formula>0</formula>
      <formula>4</formula>
    </cfRule>
    <cfRule type="cellIs" dxfId="49" priority="35" operator="between">
      <formula>5</formula>
      <formula>7</formula>
    </cfRule>
    <cfRule type="cellIs" dxfId="48" priority="36" operator="between">
      <formula>8</formula>
      <formula>10</formula>
    </cfRule>
  </conditionalFormatting>
  <conditionalFormatting sqref="B77 B91:B92 H40:H49 B106:B114 F40:F49 J40:J49">
    <cfRule type="cellIs" dxfId="47" priority="29" operator="between">
      <formula>1</formula>
      <formula>4</formula>
    </cfRule>
    <cfRule type="cellIs" dxfId="46" priority="30" operator="between">
      <formula>5</formula>
      <formula>7</formula>
    </cfRule>
    <cfRule type="cellIs" dxfId="45" priority="31" operator="between">
      <formula>8</formula>
      <formula>10</formula>
    </cfRule>
  </conditionalFormatting>
  <conditionalFormatting sqref="B41:B49">
    <cfRule type="cellIs" dxfId="44" priority="22" operator="between">
      <formula>1</formula>
      <formula>4</formula>
    </cfRule>
  </conditionalFormatting>
  <conditionalFormatting sqref="F40">
    <cfRule type="cellIs" dxfId="43" priority="10" operator="between">
      <formula>4</formula>
      <formula>7</formula>
    </cfRule>
    <cfRule type="cellIs" dxfId="42" priority="11" operator="lessThan">
      <formula>4</formula>
    </cfRule>
    <cfRule type="cellIs" dxfId="41" priority="12" operator="greaterThan">
      <formula>7</formula>
    </cfRule>
  </conditionalFormatting>
  <conditionalFormatting sqref="F40:F49">
    <cfRule type="cellIs" dxfId="40" priority="7" operator="between">
      <formula>4</formula>
      <formula>7</formula>
    </cfRule>
    <cfRule type="cellIs" dxfId="39" priority="8" operator="lessThan">
      <formula>4</formula>
    </cfRule>
    <cfRule type="cellIs" dxfId="38" priority="9" operator="greaterThan">
      <formula>7</formula>
    </cfRule>
  </conditionalFormatting>
  <conditionalFormatting sqref="H40:H49">
    <cfRule type="cellIs" dxfId="37" priority="4" operator="between">
      <formula>4</formula>
      <formula>7</formula>
    </cfRule>
    <cfRule type="cellIs" dxfId="36" priority="5" operator="lessThan">
      <formula>4</formula>
    </cfRule>
    <cfRule type="cellIs" dxfId="35" priority="6" operator="greaterThan">
      <formula>7</formula>
    </cfRule>
  </conditionalFormatting>
  <conditionalFormatting sqref="J40:J49">
    <cfRule type="cellIs" dxfId="34" priority="1" operator="between">
      <formula>4</formula>
      <formula>7</formula>
    </cfRule>
    <cfRule type="cellIs" dxfId="33" priority="2" operator="lessThan">
      <formula>4</formula>
    </cfRule>
    <cfRule type="cellIs" dxfId="32" priority="3" operator="greaterThan">
      <formula>7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2A8C1-A821-4703-9BE5-8E61237560E1}">
  <sheetPr codeName="Sheet3"/>
  <dimension ref="A1:O68"/>
  <sheetViews>
    <sheetView zoomScale="66" workbookViewId="0">
      <selection activeCell="A14" sqref="A14"/>
    </sheetView>
  </sheetViews>
  <sheetFormatPr baseColWidth="10" defaultColWidth="9.1640625" defaultRowHeight="15"/>
  <cols>
    <col min="1" max="1" width="12" style="5" customWidth="1"/>
    <col min="2" max="2" width="20" style="5" customWidth="1"/>
    <col min="3" max="3" width="21.5" style="5" customWidth="1"/>
    <col min="4" max="4" width="19.83203125" style="5" customWidth="1"/>
    <col min="5" max="5" width="12.1640625" style="5" customWidth="1"/>
    <col min="6" max="6" width="10.83203125" style="5" customWidth="1"/>
    <col min="7" max="7" width="11.5" style="5" customWidth="1"/>
    <col min="8" max="8" width="10.83203125" style="5" customWidth="1"/>
    <col min="9" max="10" width="10.6640625" style="5" customWidth="1"/>
    <col min="11" max="11" width="13" style="5" customWidth="1"/>
    <col min="12" max="14" width="11.33203125" style="5" customWidth="1"/>
    <col min="15" max="15" width="8.1640625" style="5" customWidth="1"/>
    <col min="16" max="16384" width="9.1640625" style="5"/>
  </cols>
  <sheetData>
    <row r="1" spans="1:11">
      <c r="A1" s="37" t="s">
        <v>0</v>
      </c>
      <c r="B1" s="37" t="s">
        <v>155</v>
      </c>
      <c r="C1" s="78" t="s">
        <v>156</v>
      </c>
      <c r="E1" s="37" t="s">
        <v>154</v>
      </c>
      <c r="F1" s="37" t="s">
        <v>153</v>
      </c>
      <c r="G1" s="37" t="s">
        <v>88</v>
      </c>
      <c r="H1" s="37" t="s">
        <v>35</v>
      </c>
      <c r="I1" s="37" t="s">
        <v>36</v>
      </c>
      <c r="J1" s="37" t="s">
        <v>37</v>
      </c>
      <c r="K1" s="37" t="s">
        <v>111</v>
      </c>
    </row>
    <row r="2" spans="1:11" ht="16">
      <c r="A2" s="79" t="s">
        <v>89</v>
      </c>
      <c r="B2" s="39" t="s">
        <v>169</v>
      </c>
      <c r="C2" s="80" t="s">
        <v>160</v>
      </c>
      <c r="E2" s="38" t="s">
        <v>87</v>
      </c>
      <c r="F2" s="38">
        <f>IF(ISNUMBER(SEARCH(E2,B2)),1, 0)</f>
        <v>1</v>
      </c>
      <c r="G2" s="38">
        <f>IF(ISNUMBER(SEARCH(E2,B3)),1,0)</f>
        <v>1</v>
      </c>
      <c r="H2" s="38">
        <f>IF(ISNUMBER(SEARCH(E2,B4)),1,0)</f>
        <v>1</v>
      </c>
      <c r="I2" s="38">
        <f>IF(ISNUMBER(SEARCH(E2,B5)),1,0)</f>
        <v>1</v>
      </c>
      <c r="J2" s="38">
        <f>IF(ISNUMBER(SEARCH(E2,B6)),1,0)</f>
        <v>1</v>
      </c>
      <c r="K2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Yes</v>
      </c>
    </row>
    <row r="3" spans="1:11" ht="16">
      <c r="A3" s="79" t="s">
        <v>88</v>
      </c>
      <c r="B3" s="39" t="s">
        <v>170</v>
      </c>
      <c r="C3" s="81" t="s">
        <v>183</v>
      </c>
      <c r="E3" s="38" t="s">
        <v>85</v>
      </c>
      <c r="F3" s="38">
        <f>IF(ISNUMBER(SEARCH(E3,B2)),1,0)</f>
        <v>0</v>
      </c>
      <c r="G3" s="38">
        <f>IF(ISNUMBER(SEARCH(E3,B3)),1,0)</f>
        <v>0</v>
      </c>
      <c r="H3" s="38">
        <f>IF(ISNUMBER(SEARCH(E3,B4)),1,0)</f>
        <v>0</v>
      </c>
      <c r="I3" s="38">
        <f>IF(ISNUMBER(SEARCH(E3,B5)),1,0)</f>
        <v>0</v>
      </c>
      <c r="J3" s="38">
        <f>IF(ISNUMBER(SEARCH(E3,B6)),1,0)</f>
        <v>0</v>
      </c>
      <c r="K3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4" spans="1:11" ht="16">
      <c r="A4" s="79" t="s">
        <v>35</v>
      </c>
      <c r="B4" s="39" t="s">
        <v>171</v>
      </c>
      <c r="C4" s="81" t="s">
        <v>174</v>
      </c>
      <c r="E4" s="38" t="s">
        <v>83</v>
      </c>
      <c r="F4" s="38">
        <f>IF(ISNUMBER(SEARCH(E4,B2)),1,0)</f>
        <v>0</v>
      </c>
      <c r="G4" s="38">
        <f>IF(ISNUMBER(SEARCH(E4,B3)),1,0)</f>
        <v>0</v>
      </c>
      <c r="H4" s="38">
        <f>IF(ISNUMBER(SEARCH(E4,B4)),1,0)</f>
        <v>0</v>
      </c>
      <c r="I4" s="38">
        <f>IF(ISNUMBER(SEARCH(E4,B5)),1,0)</f>
        <v>0</v>
      </c>
      <c r="J4" s="38">
        <f>IF(ISNUMBER(SEARCH(E4,B6)),1,0)</f>
        <v>0</v>
      </c>
      <c r="K4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5" spans="1:11" ht="16">
      <c r="A5" s="79" t="s">
        <v>36</v>
      </c>
      <c r="B5" s="39" t="s">
        <v>172</v>
      </c>
      <c r="C5" s="81" t="s">
        <v>175</v>
      </c>
      <c r="E5" s="38" t="s">
        <v>81</v>
      </c>
      <c r="F5" s="38">
        <f>IF(ISNUMBER(SEARCH(E5,B2)),1,0)</f>
        <v>0</v>
      </c>
      <c r="G5" s="38">
        <f>IF(ISNUMBER(SEARCH(E5,B3)),1,0)</f>
        <v>1</v>
      </c>
      <c r="H5" s="38">
        <f>IF(ISNUMBER(SEARCH(E5,B4)),1,0)</f>
        <v>1</v>
      </c>
      <c r="I5" s="38">
        <f>IF(ISNUMBER(SEARCH(E5,B5)),1,0)</f>
        <v>1</v>
      </c>
      <c r="J5" s="38">
        <f>IF(ISNUMBER(SEARCH(E5,B6)),1,0)</f>
        <v>0</v>
      </c>
      <c r="K5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Likely</v>
      </c>
    </row>
    <row r="6" spans="1:11" ht="16">
      <c r="A6" s="82" t="s">
        <v>37</v>
      </c>
      <c r="B6" s="83" t="s">
        <v>173</v>
      </c>
      <c r="C6" s="84" t="s">
        <v>176</v>
      </c>
      <c r="E6" s="38" t="s">
        <v>79</v>
      </c>
      <c r="F6" s="38">
        <f>IF(ISNUMBER(SEARCH(E6,B2)),1,0)</f>
        <v>1</v>
      </c>
      <c r="G6" s="38">
        <f>IF(ISNUMBER(SEARCH(E6,B3)),1,0)</f>
        <v>1</v>
      </c>
      <c r="H6" s="38">
        <f>IF(ISNUMBER(SEARCH(E6,B4)),1,0)</f>
        <v>1</v>
      </c>
      <c r="I6" s="38">
        <f>IF(ISNUMBER(SEARCH(E6,B5)),1,0)</f>
        <v>1</v>
      </c>
      <c r="J6" s="38">
        <f>IF(ISNUMBER(SEARCH(E6,B6)),1,0)</f>
        <v>1</v>
      </c>
      <c r="K6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Yes</v>
      </c>
    </row>
    <row r="7" spans="1:11">
      <c r="C7" s="6"/>
      <c r="E7" s="38" t="s">
        <v>77</v>
      </c>
      <c r="F7" s="38">
        <f>IF(ISNUMBER(SEARCH(E7,B2)),1,0)</f>
        <v>0</v>
      </c>
      <c r="G7" s="38">
        <f>IF(ISNUMBER(SEARCH(E7,B3)),1,0)</f>
        <v>0</v>
      </c>
      <c r="H7" s="38">
        <f>IF(ISNUMBER(SEARCH(E7,B4)),1,0)</f>
        <v>0</v>
      </c>
      <c r="I7" s="38">
        <f>IF(ISNUMBER(SEARCH(E7,B5)),1,0)</f>
        <v>0</v>
      </c>
      <c r="J7" s="38">
        <f>IF(ISNUMBER(SEARCH(E7,B6)),1,0)</f>
        <v>0</v>
      </c>
      <c r="K7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8" spans="1:11">
      <c r="E8" s="38" t="s">
        <v>75</v>
      </c>
      <c r="F8" s="38">
        <f>IF(ISNUMBER(SEARCH(E8,B2)),1,0)</f>
        <v>1</v>
      </c>
      <c r="G8" s="38">
        <f>IF(ISNUMBER(SEARCH(E8,B3)),1,0)</f>
        <v>0</v>
      </c>
      <c r="H8" s="38">
        <f>IF(ISNUMBER(SEARCH(E8,B4)),1,0)</f>
        <v>1</v>
      </c>
      <c r="I8" s="38">
        <f>IF(ISNUMBER(SEARCH(E8,B5)),1,0)</f>
        <v>1</v>
      </c>
      <c r="J8" s="38">
        <f>IF(ISNUMBER(SEARCH(E8,B6)),1,0)</f>
        <v>1</v>
      </c>
      <c r="K8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Likely</v>
      </c>
    </row>
    <row r="9" spans="1:11">
      <c r="E9" s="38" t="s">
        <v>73</v>
      </c>
      <c r="F9" s="38">
        <f>IF(ISNUMBER(SEARCH(E9,B2)),1,0)</f>
        <v>1</v>
      </c>
      <c r="G9" s="38">
        <f>IF(ISNUMBER(SEARCH(E9,B3)),1,0)</f>
        <v>0</v>
      </c>
      <c r="H9" s="38">
        <f>IF(ISNUMBER(SEARCH(E9,B4)),1,0)</f>
        <v>0</v>
      </c>
      <c r="I9" s="38">
        <f>IF(ISNUMBER(SEARCH(E9,B5)),1,0)</f>
        <v>0</v>
      </c>
      <c r="J9" s="38">
        <f>IF(ISNUMBER(SEARCH(E9,B6)),1,0)</f>
        <v>0</v>
      </c>
      <c r="K9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10" spans="1:11">
      <c r="E10" s="38" t="s">
        <v>71</v>
      </c>
      <c r="F10" s="38">
        <f>IF(ISNUMBER(SEARCH(E10,B2)),1,0)</f>
        <v>0</v>
      </c>
      <c r="G10" s="38">
        <f>IF(ISNUMBER(SEARCH(E10,B3)),1,0)</f>
        <v>1</v>
      </c>
      <c r="H10" s="38">
        <f>IF(ISNUMBER(SEARCH(E10,B4)),1,0)</f>
        <v>1</v>
      </c>
      <c r="I10" s="38">
        <f>IF(ISNUMBER(SEARCH(E10,B5)),1,0)</f>
        <v>0</v>
      </c>
      <c r="J10" s="38">
        <f>IF(ISNUMBER(SEARCH(E10,B6)),1,0)</f>
        <v>1</v>
      </c>
      <c r="K10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Likely</v>
      </c>
    </row>
    <row r="11" spans="1:11">
      <c r="E11" s="38" t="s">
        <v>69</v>
      </c>
      <c r="F11" s="38">
        <f>IF(ISNUMBER(SEARCH(E11,B2)),1,0)</f>
        <v>0</v>
      </c>
      <c r="G11" s="38">
        <f>IF(ISNUMBER(SEARCH(E11,B3)),1,0)</f>
        <v>0</v>
      </c>
      <c r="H11" s="38">
        <f>IF(ISNUMBER(SEARCH(E11,B4)),1,0)</f>
        <v>0</v>
      </c>
      <c r="I11" s="38">
        <f>IF(ISNUMBER(SEARCH(E11,B5)),1,0)</f>
        <v>0</v>
      </c>
      <c r="J11" s="38">
        <f>IF(ISNUMBER(SEARCH(E11,B6)),1,0)</f>
        <v>0</v>
      </c>
      <c r="K11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12" spans="1:11">
      <c r="E12" s="38" t="s">
        <v>67</v>
      </c>
      <c r="F12" s="38">
        <f>IF(ISNUMBER(SEARCH(E12,B2)),1,0)</f>
        <v>0</v>
      </c>
      <c r="G12" s="38">
        <f>IF(ISNUMBER(SEARCH(E12,B3)),1,0)</f>
        <v>0</v>
      </c>
      <c r="H12" s="38">
        <f>IF(ISNUMBER(SEARCH(E12,B4)),1,0)</f>
        <v>0</v>
      </c>
      <c r="I12" s="38">
        <f>IF(ISNUMBER(SEARCH(E12,B5)),1,0)</f>
        <v>0</v>
      </c>
      <c r="J12" s="38">
        <f>IF(ISNUMBER(SEARCH(E12,B6)),1,0)</f>
        <v>0</v>
      </c>
      <c r="K12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13" spans="1:11">
      <c r="E13" s="38" t="s">
        <v>65</v>
      </c>
      <c r="F13" s="38">
        <f>IF(ISNUMBER(SEARCH(E13,B2)),1,0)</f>
        <v>0</v>
      </c>
      <c r="G13" s="38">
        <f>IF(ISNUMBER(SEARCH(E13,B3)),1,0)</f>
        <v>0</v>
      </c>
      <c r="H13" s="38">
        <f>IF(ISNUMBER(SEARCH(E13,B4)),1,0)</f>
        <v>0</v>
      </c>
      <c r="I13" s="38">
        <f>IF(ISNUMBER(SEARCH(E13,B5)),1,0)</f>
        <v>0</v>
      </c>
      <c r="J13" s="38">
        <f>IF(ISNUMBER(SEARCH(E13,B6)),1,0)</f>
        <v>0</v>
      </c>
      <c r="K13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14" spans="1:11">
      <c r="E14" s="38" t="s">
        <v>63</v>
      </c>
      <c r="F14" s="38">
        <f>IF(ISNUMBER(SEARCH(E14,B2)),1,0)</f>
        <v>0</v>
      </c>
      <c r="G14" s="38">
        <f>IF(ISNUMBER(SEARCH(E14,B3)),1,0)</f>
        <v>0</v>
      </c>
      <c r="H14" s="38">
        <f>IF(ISNUMBER(SEARCH(E14,B4)),1,0)</f>
        <v>0</v>
      </c>
      <c r="I14" s="38">
        <f>IF(ISNUMBER(SEARCH(E14,B5)),1,0)</f>
        <v>0</v>
      </c>
      <c r="J14" s="38">
        <f>IF(ISNUMBER(SEARCH(E14,B6)),1,0)</f>
        <v>0</v>
      </c>
      <c r="K14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15" spans="1:11">
      <c r="E15" s="38" t="s">
        <v>61</v>
      </c>
      <c r="F15" s="38">
        <f>IF(ISNUMBER(SEARCH(E15,B2)),1,0)</f>
        <v>0</v>
      </c>
      <c r="G15" s="38">
        <f>IF(ISNUMBER(SEARCH(E15,B3)),1,0)</f>
        <v>0</v>
      </c>
      <c r="H15" s="38">
        <f>IF(ISNUMBER(SEARCH(E15,B4)),1,0)</f>
        <v>0</v>
      </c>
      <c r="I15" s="38">
        <f>IF(ISNUMBER(SEARCH(E15,B5)),1,0)</f>
        <v>0</v>
      </c>
      <c r="J15" s="38">
        <f>IF(ISNUMBER(SEARCH(E15,B6)),1,0)</f>
        <v>0</v>
      </c>
      <c r="K15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16" spans="1:11">
      <c r="E16" s="38" t="s">
        <v>59</v>
      </c>
      <c r="F16" s="38">
        <f>IF(ISNUMBER(SEARCH(E16,B2)),1,0)</f>
        <v>1</v>
      </c>
      <c r="G16" s="38">
        <f>IF(ISNUMBER(SEARCH(E16,B3)),1,0)</f>
        <v>1</v>
      </c>
      <c r="H16" s="38">
        <f>IF(ISNUMBER(SEARCH(E16,B4)),1,0)</f>
        <v>0</v>
      </c>
      <c r="I16" s="38">
        <f>IF(ISNUMBER(SEARCH(E16,B5)),1,0)</f>
        <v>1</v>
      </c>
      <c r="J16" s="38">
        <f>IF(ISNUMBER(SEARCH(E16,B6)),1,0)</f>
        <v>1</v>
      </c>
      <c r="K16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Likely</v>
      </c>
    </row>
    <row r="17" spans="5:11">
      <c r="E17" s="38" t="s">
        <v>57</v>
      </c>
      <c r="F17" s="38">
        <f>IF(ISNUMBER(SEARCH(E17,B2)),1,0)</f>
        <v>0</v>
      </c>
      <c r="G17" s="38">
        <f>IF(ISNUMBER(SEARCH(E17,B3)),1,0)</f>
        <v>0</v>
      </c>
      <c r="H17" s="38">
        <f>IF(ISNUMBER(SEARCH(E17,B4)),1,0)</f>
        <v>0</v>
      </c>
      <c r="I17" s="38">
        <f>IF(ISNUMBER(SEARCH(E17,B5)),1,0)</f>
        <v>0</v>
      </c>
      <c r="J17" s="38">
        <f>IF(ISNUMBER(SEARCH(E17,B6)),1,0)</f>
        <v>0</v>
      </c>
      <c r="K17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18" spans="5:11">
      <c r="E18" s="38" t="s">
        <v>55</v>
      </c>
      <c r="F18" s="38">
        <f>IF(ISNUMBER(SEARCH(E18,B2)),1,0)</f>
        <v>0</v>
      </c>
      <c r="G18" s="38">
        <f>IF(ISNUMBER(SEARCH(E18,B3)),1,0)</f>
        <v>0</v>
      </c>
      <c r="H18" s="38">
        <f>IF(ISNUMBER(SEARCH(E18,B4)),1,0)</f>
        <v>0</v>
      </c>
      <c r="I18" s="38">
        <f>IF(ISNUMBER(SEARCH(E18,B5)),1,0)</f>
        <v>0</v>
      </c>
      <c r="J18" s="38">
        <f>IF(ISNUMBER(SEARCH(E18,B6)),1,0)</f>
        <v>0</v>
      </c>
      <c r="K18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19" spans="5:11">
      <c r="E19" s="38" t="s">
        <v>54</v>
      </c>
      <c r="F19" s="38">
        <f>IF(ISNUMBER(SEARCH(E19,B2)),1,0)</f>
        <v>0</v>
      </c>
      <c r="G19" s="38">
        <f>IF(ISNUMBER(SEARCH(E19,B3)),1,0)</f>
        <v>0</v>
      </c>
      <c r="H19" s="38">
        <f>IF(ISNUMBER(SEARCH(E19,B4)),1,0)</f>
        <v>0</v>
      </c>
      <c r="I19" s="38">
        <f>IF(ISNUMBER(SEARCH(E19,B5)),1,0)</f>
        <v>0</v>
      </c>
      <c r="J19" s="38">
        <f>IF(ISNUMBER(SEARCH(E19,B6)),1,0)</f>
        <v>0</v>
      </c>
      <c r="K19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20" spans="5:11">
      <c r="E20" s="38" t="s">
        <v>53</v>
      </c>
      <c r="F20" s="38">
        <f>IF(ISNUMBER(SEARCH(E20,B2)),1,0)</f>
        <v>0</v>
      </c>
      <c r="G20" s="38">
        <f>IF(ISNUMBER(SEARCH(E20,B3)),1,0)</f>
        <v>0</v>
      </c>
      <c r="H20" s="38">
        <f>IF(ISNUMBER(SEARCH(E20,B4)),1,0)</f>
        <v>0</v>
      </c>
      <c r="I20" s="38">
        <f>IF(ISNUMBER(SEARCH(E20,B5)),1,0)</f>
        <v>0</v>
      </c>
      <c r="J20" s="38">
        <f>IF(ISNUMBER(SEARCH(E20,B6)),1,0)</f>
        <v>0</v>
      </c>
      <c r="K20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21" spans="5:11">
      <c r="E21" s="38" t="s">
        <v>52</v>
      </c>
      <c r="F21" s="38">
        <f>IF(ISNUMBER(SEARCH(E21,B2)),1,0)</f>
        <v>0</v>
      </c>
      <c r="G21" s="38">
        <f>IF(ISNUMBER(SEARCH(E21,B3)),1,0)</f>
        <v>0</v>
      </c>
      <c r="H21" s="38">
        <f>IF(ISNUMBER(SEARCH(E21,B4)),1,0)</f>
        <v>0</v>
      </c>
      <c r="I21" s="38">
        <f>IF(ISNUMBER(SEARCH(E21,B5)),1,0)</f>
        <v>0</v>
      </c>
      <c r="J21" s="38">
        <f>IF(ISNUMBER(SEARCH(E21,B6)),1,0)</f>
        <v>0</v>
      </c>
      <c r="K21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22" spans="5:11">
      <c r="E22" s="38" t="s">
        <v>51</v>
      </c>
      <c r="F22" s="38">
        <f>IF(ISNUMBER(SEARCH(E22,B2)),1,0)</f>
        <v>1</v>
      </c>
      <c r="G22" s="38">
        <f>IF(ISNUMBER(SEARCH(E22,B3)),1,0)</f>
        <v>1</v>
      </c>
      <c r="H22" s="38">
        <f>IF(ISNUMBER(SEARCH(E22,B4)),1,0)</f>
        <v>0</v>
      </c>
      <c r="I22" s="38">
        <f>IF(ISNUMBER(SEARCH(E22,B5)),1,0)</f>
        <v>1</v>
      </c>
      <c r="J22" s="38">
        <f>IF(ISNUMBER(SEARCH(E22,B6)),1,0)</f>
        <v>1</v>
      </c>
      <c r="K22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Likely</v>
      </c>
    </row>
    <row r="23" spans="5:11">
      <c r="E23" s="38" t="s">
        <v>50</v>
      </c>
      <c r="F23" s="38">
        <f>IF(ISNUMBER(SEARCH(E23,B2)),1,0)</f>
        <v>0</v>
      </c>
      <c r="G23" s="38">
        <f>IF(ISNUMBER(SEARCH(E23,B3)),1,0)</f>
        <v>0</v>
      </c>
      <c r="H23" s="38">
        <f>IF(ISNUMBER(SEARCH(E23,B4)),1,0)</f>
        <v>0</v>
      </c>
      <c r="I23" s="38">
        <f>IF(ISNUMBER(SEARCH(E23,B5)),1,0)</f>
        <v>0</v>
      </c>
      <c r="J23" s="38">
        <f>IF(ISNUMBER(SEARCH(E23,B6)),1,0)</f>
        <v>0</v>
      </c>
      <c r="K23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24" spans="5:11">
      <c r="E24" s="38" t="s">
        <v>49</v>
      </c>
      <c r="F24" s="38">
        <f>IF(ISNUMBER(SEARCH(E24,B2)),1,0)</f>
        <v>0</v>
      </c>
      <c r="G24" s="38">
        <f>IF(ISNUMBER(SEARCH(E24,B3)),1,0)</f>
        <v>0</v>
      </c>
      <c r="H24" s="38">
        <f>IF(ISNUMBER(SEARCH(E24,B4)),1,0)</f>
        <v>0</v>
      </c>
      <c r="I24" s="38">
        <f>IF(ISNUMBER(SEARCH(E24,B5)),1,0)</f>
        <v>0</v>
      </c>
      <c r="J24" s="38">
        <f>IF(ISNUMBER(SEARCH(E24,B6)),1,0)</f>
        <v>0</v>
      </c>
      <c r="K24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25" spans="5:11">
      <c r="E25" s="38" t="s">
        <v>48</v>
      </c>
      <c r="F25" s="38">
        <f>IF(ISNUMBER(SEARCH(E25,B2)),1,0)</f>
        <v>0</v>
      </c>
      <c r="G25" s="38">
        <f>IF(ISNUMBER(SEARCH(E25,B3)),1,0)</f>
        <v>0</v>
      </c>
      <c r="H25" s="38">
        <f>IF(ISNUMBER(SEARCH(E25,B4)),1,0)</f>
        <v>0</v>
      </c>
      <c r="I25" s="38">
        <f>IF(ISNUMBER(SEARCH(E25,B5)),1,0)</f>
        <v>0</v>
      </c>
      <c r="J25" s="38">
        <f>IF(ISNUMBER(SEARCH(E25,B6)),1,0)</f>
        <v>0</v>
      </c>
      <c r="K25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26" spans="5:11">
      <c r="E26" s="38" t="s">
        <v>47</v>
      </c>
      <c r="F26" s="38">
        <f>IF(ISNUMBER(SEARCH(E26,B2)),1,0)</f>
        <v>0</v>
      </c>
      <c r="G26" s="38">
        <f>IF(ISNUMBER(SEARCH(E26,B3)),1,0)</f>
        <v>0</v>
      </c>
      <c r="H26" s="38">
        <f>IF(ISNUMBER(SEARCH(E26,B4)),1,0)</f>
        <v>0</v>
      </c>
      <c r="I26" s="38">
        <f>IF(ISNUMBER(SEARCH(E26,B5)),1,0)</f>
        <v>0</v>
      </c>
      <c r="J26" s="38">
        <f>IF(ISNUMBER(SEARCH(E26,B6)),1,0)</f>
        <v>0</v>
      </c>
      <c r="K26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27" spans="5:11">
      <c r="E27" s="38" t="s">
        <v>46</v>
      </c>
      <c r="F27" s="38">
        <f>IF(ISNUMBER(SEARCH(E27,B2)),1,0)</f>
        <v>0</v>
      </c>
      <c r="G27" s="38">
        <f>IF(ISNUMBER(SEARCH(E27,B3)),1,0)</f>
        <v>0</v>
      </c>
      <c r="H27" s="38">
        <f>IF(ISNUMBER(SEARCH(E27,B4)),1,0)</f>
        <v>0</v>
      </c>
      <c r="I27" s="38">
        <f>IF(ISNUMBER(SEARCH(E27,B5)),1,0)</f>
        <v>0</v>
      </c>
      <c r="J27" s="38">
        <f>IF(ISNUMBER(SEARCH(E27,B6)),1,0)</f>
        <v>0</v>
      </c>
      <c r="K27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28" spans="5:11">
      <c r="E28" s="38" t="s">
        <v>45</v>
      </c>
      <c r="F28" s="38">
        <f>IF(ISNUMBER(SEARCH(E28,B2)),1,0)</f>
        <v>0</v>
      </c>
      <c r="G28" s="38">
        <f>IF(ISNUMBER(SEARCH(E28,B3)),1,0)</f>
        <v>0</v>
      </c>
      <c r="H28" s="38">
        <f>IF(ISNUMBER(SEARCH(E28,B4)),1,0)</f>
        <v>0</v>
      </c>
      <c r="I28" s="38">
        <f>IF(ISNUMBER(SEARCH(E28,B5)),1,0)</f>
        <v>0</v>
      </c>
      <c r="J28" s="38">
        <f>IF(ISNUMBER(SEARCH(E28,B6)),1,0)</f>
        <v>0</v>
      </c>
      <c r="K28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29" spans="5:11">
      <c r="E29" s="38" t="s">
        <v>44</v>
      </c>
      <c r="F29" s="38">
        <f>IF(ISNUMBER(SEARCH(E29,B2)),1,0)</f>
        <v>0</v>
      </c>
      <c r="G29" s="38">
        <f>IF(ISNUMBER(SEARCH(E29,B3)),1,0)</f>
        <v>0</v>
      </c>
      <c r="H29" s="38">
        <f>IF(ISNUMBER(SEARCH(E29,B4)),1,0)</f>
        <v>0</v>
      </c>
      <c r="I29" s="38">
        <f>IF(ISNUMBER(SEARCH(E29,B5)),1,0)</f>
        <v>0</v>
      </c>
      <c r="J29" s="38">
        <f>IF(ISNUMBER(SEARCH(E29,B6)),1,0)</f>
        <v>0</v>
      </c>
      <c r="K29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30" spans="5:11">
      <c r="E30" s="38" t="s">
        <v>43</v>
      </c>
      <c r="F30" s="38">
        <f>IF(ISNUMBER(SEARCH(E30,B2)),1,0)</f>
        <v>0</v>
      </c>
      <c r="G30" s="38">
        <f>IF(ISNUMBER(SEARCH(E30,B3)),1,0)</f>
        <v>0</v>
      </c>
      <c r="H30" s="38">
        <f>IF(ISNUMBER(SEARCH(E30,B4)),1,0)</f>
        <v>0</v>
      </c>
      <c r="I30" s="38">
        <f>IF(ISNUMBER(SEARCH(E30,B5)),1,0)</f>
        <v>0</v>
      </c>
      <c r="J30" s="38">
        <f>IF(ISNUMBER(SEARCH(E30,B6)),1,0)</f>
        <v>0</v>
      </c>
      <c r="K30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31" spans="5:11">
      <c r="E31" s="38" t="s">
        <v>42</v>
      </c>
      <c r="F31" s="38">
        <f>IF(ISNUMBER(SEARCH(E31,B2)),1,0)</f>
        <v>0</v>
      </c>
      <c r="G31" s="38">
        <f>IF(ISNUMBER(SEARCH(E31,B3)),1,0)</f>
        <v>0</v>
      </c>
      <c r="H31" s="38">
        <f>IF(ISNUMBER(SEARCH(E31,B4)),1,0)</f>
        <v>0</v>
      </c>
      <c r="I31" s="38">
        <f>IF(ISNUMBER(SEARCH(E31,B5)),1,0)</f>
        <v>0</v>
      </c>
      <c r="J31" s="38">
        <f>IF(ISNUMBER(SEARCH(E31,B6)),1,0)</f>
        <v>0</v>
      </c>
      <c r="K31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32" spans="5:11">
      <c r="E32" s="38" t="s">
        <v>41</v>
      </c>
      <c r="F32" s="38">
        <f>IF(ISNUMBER(SEARCH(E32,B2)),1,0)</f>
        <v>0</v>
      </c>
      <c r="G32" s="38">
        <f>IF(ISNUMBER(SEARCH(E32,B3)),1,0)</f>
        <v>0</v>
      </c>
      <c r="H32" s="38">
        <f>IF(ISNUMBER(SEARCH(E32,B4)),1,0)</f>
        <v>0</v>
      </c>
      <c r="I32" s="38">
        <f>IF(ISNUMBER(SEARCH(E32,B5)),1,0)</f>
        <v>0</v>
      </c>
      <c r="J32" s="38">
        <f>IF(ISNUMBER(SEARCH(E32,B6)),1,0)</f>
        <v>0</v>
      </c>
      <c r="K32" s="38" t="str">
        <f>IF(AND(Table2[[#This Row],[Member1]]+Table2[[#This Row],[Member 2]]+Table2[[#This Row],[Member 3]]+Table2[[#This Row],[Member 4]]+Table2[[#This Row],[Member 5]]=5), "Yes",(IF(Table2[[#This Row],[Member1]]+Table2[[#This Row],[Member 2]]+Table2[[#This Row],[Member 3]]+Table2[[#This Row],[Member 4]]+Table2[[#This Row],[Member 5]]&gt;=3,"Likely","No")))</f>
        <v>No</v>
      </c>
    </row>
    <row r="33" spans="5:13">
      <c r="L33" s="6"/>
      <c r="M33" s="6"/>
    </row>
    <row r="34" spans="5:13">
      <c r="E34" s="43" t="s">
        <v>158</v>
      </c>
      <c r="F34" s="75" t="s">
        <v>153</v>
      </c>
      <c r="G34" s="75" t="s">
        <v>88</v>
      </c>
      <c r="H34" s="75" t="s">
        <v>35</v>
      </c>
      <c r="I34" s="75" t="s">
        <v>36</v>
      </c>
      <c r="J34" s="75" t="s">
        <v>182</v>
      </c>
      <c r="K34" s="44" t="s">
        <v>157</v>
      </c>
    </row>
    <row r="35" spans="5:13">
      <c r="E35" s="76" t="s">
        <v>86</v>
      </c>
      <c r="F35" s="40">
        <f>IF(ISNUMBER(SEARCH(E35,C2)),1,0)</f>
        <v>0</v>
      </c>
      <c r="G35" s="40">
        <f>IF(ISNUMBER(SEARCH(E35,C3)),1,0)</f>
        <v>0</v>
      </c>
      <c r="H35" s="40">
        <f>IF(ISNUMBER(SEARCH(E35,C4)),1,0)</f>
        <v>0</v>
      </c>
      <c r="I35" s="40">
        <f>IF(ISNUMBER(SEARCH(E35,C5)),1,0)</f>
        <v>0</v>
      </c>
      <c r="J35" s="40">
        <f>IF(ISNUMBER(SEARCH(E35,C6)),1,0)</f>
        <v>0</v>
      </c>
      <c r="K35" s="42" t="str">
        <f>IF(AND(Table5[[#This Row],[Member1]]+Table5[[#This Row],[Member 2]]+Table5[[#This Row],[Member 3]]+Table5[[#This Row],[Member 4]]=4),"Yes",(IF(Table5[[#This Row],[Member1]]+Table5[[#This Row],[Member 2]]+Table5[[#This Row],[Member 3]]+Table5[[#This Row],[Member 4]]=3,"Likely","No")))</f>
        <v>No</v>
      </c>
    </row>
    <row r="36" spans="5:13">
      <c r="E36" s="76" t="s">
        <v>84</v>
      </c>
      <c r="F36" s="40">
        <f>IF(ISNUMBER(SEARCH(E36,C2)),1,0)</f>
        <v>0</v>
      </c>
      <c r="G36" s="40">
        <f>IF(ISNUMBER(SEARCH(E36,C3)),1,0)</f>
        <v>0</v>
      </c>
      <c r="H36" s="41">
        <f>IF(ISNUMBER(SEARCH(E36,C4)),1,0)</f>
        <v>1</v>
      </c>
      <c r="I36" s="41">
        <f>IF(ISNUMBER(SEARCH(E36,C5)),1,0)</f>
        <v>0</v>
      </c>
      <c r="J36" s="41">
        <f>IF(ISNUMBER(SEARCH(E36,C6)),1,0)</f>
        <v>0</v>
      </c>
      <c r="K36" s="42" t="str">
        <f>IF(AND(Table5[[#This Row],[Member1]]+Table5[[#This Row],[Member 2]]+Table5[[#This Row],[Member 3]]+Table5[[#This Row],[Member 4]]=4),"Yes",(IF(Table5[[#This Row],[Member1]]+Table5[[#This Row],[Member 2]]+Table5[[#This Row],[Member 3]]+Table5[[#This Row],[Member 4]]=3,"Likely","No")))</f>
        <v>No</v>
      </c>
    </row>
    <row r="37" spans="5:13">
      <c r="E37" s="76" t="s">
        <v>82</v>
      </c>
      <c r="F37" s="40">
        <f>IF(ISNUMBER(SEARCH(E37,C2)),1,0)</f>
        <v>0</v>
      </c>
      <c r="G37" s="40">
        <f>IF(ISNUMBER(SEARCH(E37,C3)),1,0)</f>
        <v>0</v>
      </c>
      <c r="H37" s="41">
        <f>IF(ISNUMBER(SEARCH(E37,C4)),1,0)</f>
        <v>0</v>
      </c>
      <c r="I37" s="41">
        <f>IF(ISNUMBER(SEARCH(E37,C5)),1,0)</f>
        <v>0</v>
      </c>
      <c r="J37" s="41">
        <f>IF(ISNUMBER(SEARCH(E37,C6)),1,0)</f>
        <v>0</v>
      </c>
      <c r="K37" s="42" t="str">
        <f>IF(AND(Table5[[#This Row],[Member1]]+Table5[[#This Row],[Member 2]]+Table5[[#This Row],[Member 3]]+Table5[[#This Row],[Member 4]]=4),"Yes",(IF(Table5[[#This Row],[Member1]]+Table5[[#This Row],[Member 2]]+Table5[[#This Row],[Member 3]]+Table5[[#This Row],[Member 4]]=3,"Likely","No")))</f>
        <v>No</v>
      </c>
    </row>
    <row r="38" spans="5:13">
      <c r="E38" s="76" t="s">
        <v>80</v>
      </c>
      <c r="F38" s="40">
        <f>IF(ISNUMBER(SEARCH(E38,C2)),1,0)</f>
        <v>0</v>
      </c>
      <c r="G38" s="40">
        <f>IF(ISNUMBER(SEARCH(E38,C3)),1,0)</f>
        <v>1</v>
      </c>
      <c r="H38" s="41">
        <f>IF(ISNUMBER(SEARCH(E38,C4)),1,0)</f>
        <v>0</v>
      </c>
      <c r="I38" s="41">
        <f>IF(ISNUMBER(SEARCH(E38,C5)),1,0)</f>
        <v>1</v>
      </c>
      <c r="J38" s="41">
        <f>IF(ISNUMBER(SEARCH(E38,C6)),1,0)</f>
        <v>0</v>
      </c>
      <c r="K38" s="42" t="str">
        <f>IF(AND(Table5[[#This Row],[Member1]]+Table5[[#This Row],[Member 2]]+Table5[[#This Row],[Member 3]]+Table5[[#This Row],[Member 4]]=4),"Yes",(IF(Table5[[#This Row],[Member1]]+Table5[[#This Row],[Member 2]]+Table5[[#This Row],[Member 3]]+Table5[[#This Row],[Member 4]]=3,"Likely","No")))</f>
        <v>No</v>
      </c>
    </row>
    <row r="39" spans="5:13">
      <c r="E39" s="76" t="s">
        <v>78</v>
      </c>
      <c r="F39" s="40">
        <f>IF(ISNUMBER(SEARCH(E39,C2)),1,0)</f>
        <v>1</v>
      </c>
      <c r="G39" s="40">
        <f>IF(ISNUMBER(SEARCH(E39,C3)),1,0)</f>
        <v>1</v>
      </c>
      <c r="H39" s="41">
        <f>IF(ISNUMBER(SEARCH(E39,C4)),1,0)</f>
        <v>1</v>
      </c>
      <c r="I39" s="41">
        <f>IF(ISNUMBER(SEARCH(E39,C5)),1,0)</f>
        <v>1</v>
      </c>
      <c r="J39" s="41">
        <f>IF(ISNUMBER(SEARCH(E39,C6)),1,0)</f>
        <v>1</v>
      </c>
      <c r="K39" s="42" t="str">
        <f>IF(AND(Table5[[#This Row],[Member1]]+Table5[[#This Row],[Member 2]]+Table5[[#This Row],[Member 3]]+Table5[[#This Row],[Member 4]]=4),"Yes",(IF(Table5[[#This Row],[Member1]]+Table5[[#This Row],[Member 2]]+Table5[[#This Row],[Member 3]]+Table5[[#This Row],[Member 4]]=3,"Likely","No")))</f>
        <v>Yes</v>
      </c>
    </row>
    <row r="40" spans="5:13">
      <c r="E40" s="76" t="s">
        <v>76</v>
      </c>
      <c r="F40" s="40">
        <f>IF(ISNUMBER(SEARCH(E40,C2)),1,0)</f>
        <v>0</v>
      </c>
      <c r="G40" s="40">
        <f>IF(ISNUMBER(SEARCH(E40,C3)),1,0)</f>
        <v>0</v>
      </c>
      <c r="H40" s="41">
        <f>IF(ISNUMBER(SEARCH(E40,C4)),1,0)</f>
        <v>0</v>
      </c>
      <c r="I40" s="41">
        <f>IF(ISNUMBER(SEARCH(E40,C5)),1,0)</f>
        <v>0</v>
      </c>
      <c r="J40" s="41">
        <f>IF(ISNUMBER(SEARCH(E40,C6)),1,0)</f>
        <v>0</v>
      </c>
      <c r="K40" s="42" t="str">
        <f>IF(AND(Table5[[#This Row],[Member1]]+Table5[[#This Row],[Member 2]]+Table5[[#This Row],[Member 3]]+Table5[[#This Row],[Member 4]]=4),"Yes",(IF(Table5[[#This Row],[Member1]]+Table5[[#This Row],[Member 2]]+Table5[[#This Row],[Member 3]]+Table5[[#This Row],[Member 4]]=3,"Likely","No")))</f>
        <v>No</v>
      </c>
    </row>
    <row r="41" spans="5:13">
      <c r="E41" s="76" t="s">
        <v>74</v>
      </c>
      <c r="F41" s="40">
        <f>IF(ISNUMBER(SEARCH(E41,C2)),1,0)</f>
        <v>0</v>
      </c>
      <c r="G41" s="40">
        <f>IF(ISNUMBER(SEARCH(E41,C3)),1,0)</f>
        <v>0</v>
      </c>
      <c r="H41" s="41">
        <f>IF(ISNUMBER(SEARCH(E41,C4)),1,0)</f>
        <v>0</v>
      </c>
      <c r="I41" s="41">
        <f>IF(ISNUMBER(SEARCH(E41,C5)),1,0)</f>
        <v>0</v>
      </c>
      <c r="J41" s="41">
        <f>IF(ISNUMBER(SEARCH(E41,C6)),1,0)</f>
        <v>0</v>
      </c>
      <c r="K41" s="42" t="str">
        <f>IF(AND(Table5[[#This Row],[Member1]]+Table5[[#This Row],[Member 2]]+Table5[[#This Row],[Member 3]]+Table5[[#This Row],[Member 4]]=4),"Yes",(IF(Table5[[#This Row],[Member1]]+Table5[[#This Row],[Member 2]]+Table5[[#This Row],[Member 3]]+Table5[[#This Row],[Member 4]]=3,"Likely","No")))</f>
        <v>No</v>
      </c>
    </row>
    <row r="42" spans="5:13">
      <c r="E42" s="76" t="s">
        <v>72</v>
      </c>
      <c r="F42" s="40">
        <f>IF(ISNUMBER(SEARCH(E42,C2)),1,0)</f>
        <v>0</v>
      </c>
      <c r="G42" s="40">
        <f>IF(ISNUMBER(SEARCH(E42,C3)),1,0)</f>
        <v>0</v>
      </c>
      <c r="H42" s="41">
        <f>IF(ISNUMBER(SEARCH(E42,C4)),1,0)</f>
        <v>0</v>
      </c>
      <c r="I42" s="41">
        <f>IF(ISNUMBER(SEARCH(E42,C5)),1,0)</f>
        <v>0</v>
      </c>
      <c r="J42" s="41">
        <f>IF(ISNUMBER(SEARCH(E42,C6)),1,0)</f>
        <v>0</v>
      </c>
      <c r="K42" s="42" t="str">
        <f>IF(AND(Table5[[#This Row],[Member1]]+Table5[[#This Row],[Member 2]]+Table5[[#This Row],[Member 3]]+Table5[[#This Row],[Member 4]]=4),"Yes",(IF(Table5[[#This Row],[Member1]]+Table5[[#This Row],[Member 2]]+Table5[[#This Row],[Member 3]]+Table5[[#This Row],[Member 4]]=3,"Likely","No")))</f>
        <v>No</v>
      </c>
    </row>
    <row r="43" spans="5:13">
      <c r="E43" s="76" t="s">
        <v>70</v>
      </c>
      <c r="F43" s="40">
        <f>IF(ISNUMBER(SEARCH(E43,C2)),1,0)</f>
        <v>0</v>
      </c>
      <c r="G43" s="40">
        <f>IF(ISNUMBER(SEARCH(E43,C3)),1,0)</f>
        <v>0</v>
      </c>
      <c r="H43" s="41">
        <f>IF(ISNUMBER(SEARCH(E43,C4)),1,0)</f>
        <v>0</v>
      </c>
      <c r="I43" s="41">
        <f>IF(ISNUMBER(SEARCH(E43,C5)),1,0)</f>
        <v>0</v>
      </c>
      <c r="J43" s="41">
        <f>IF(ISNUMBER(SEARCH(E43,C6)),1,0)</f>
        <v>0</v>
      </c>
      <c r="K43" s="42" t="str">
        <f>IF(AND(Table5[[#This Row],[Member1]]+Table5[[#This Row],[Member 2]]+Table5[[#This Row],[Member 3]]+Table5[[#This Row],[Member 4]]=4),"Yes",(IF(Table5[[#This Row],[Member1]]+Table5[[#This Row],[Member 2]]+Table5[[#This Row],[Member 3]]+Table5[[#This Row],[Member 4]]=3,"Likely","No")))</f>
        <v>No</v>
      </c>
    </row>
    <row r="44" spans="5:13">
      <c r="E44" s="76" t="s">
        <v>68</v>
      </c>
      <c r="F44" s="40">
        <f>IF(ISNUMBER(SEARCH(E44,C2)),1,0)</f>
        <v>0</v>
      </c>
      <c r="G44" s="40">
        <f>IF(ISNUMBER(SEARCH(E44,C3)),1,0)</f>
        <v>1</v>
      </c>
      <c r="H44" s="41">
        <f>IF(ISNUMBER(SEARCH(E44,C4)),1,0)</f>
        <v>1</v>
      </c>
      <c r="I44" s="41">
        <f>IF(ISNUMBER(SEARCH(E44,C5)),1,0)</f>
        <v>1</v>
      </c>
      <c r="J44" s="41">
        <f>IF(ISNUMBER(SEARCH(E44,C6)),1,0)</f>
        <v>1</v>
      </c>
      <c r="K44" s="42" t="str">
        <f>IF(AND(Table5[[#This Row],[Member1]]+Table5[[#This Row],[Member 2]]+Table5[[#This Row],[Member 3]]+Table5[[#This Row],[Member 4]]=4),"Yes",(IF(Table5[[#This Row],[Member1]]+Table5[[#This Row],[Member 2]]+Table5[[#This Row],[Member 3]]+Table5[[#This Row],[Member 4]]=3,"Likely","No")))</f>
        <v>Likely</v>
      </c>
    </row>
    <row r="45" spans="5:13">
      <c r="E45" s="76" t="s">
        <v>66</v>
      </c>
      <c r="F45" s="40">
        <f>IF(ISNUMBER(SEARCH(E45,C2)),1,0)</f>
        <v>0</v>
      </c>
      <c r="G45" s="40">
        <f>IF(ISNUMBER(SEARCH(E45,C3)),1,0)</f>
        <v>0</v>
      </c>
      <c r="H45" s="41">
        <f>IF(ISNUMBER(SEARCH(E45,C4)),1,0)</f>
        <v>0</v>
      </c>
      <c r="I45" s="41">
        <f>IF(ISNUMBER(SEARCH(E45,C5)),1,0)</f>
        <v>0</v>
      </c>
      <c r="J45" s="41">
        <f>IF(ISNUMBER(SEARCH(E45,C6)),1,0)</f>
        <v>0</v>
      </c>
      <c r="K45" s="42" t="str">
        <f>IF(AND(Table5[[#This Row],[Member1]]+Table5[[#This Row],[Member 2]]+Table5[[#This Row],[Member 3]]+Table5[[#This Row],[Member 4]]=4),"Yes",(IF(Table5[[#This Row],[Member1]]+Table5[[#This Row],[Member 2]]+Table5[[#This Row],[Member 3]]+Table5[[#This Row],[Member 4]]=3,"Likely","No")))</f>
        <v>No</v>
      </c>
    </row>
    <row r="46" spans="5:13">
      <c r="E46" s="76" t="s">
        <v>64</v>
      </c>
      <c r="F46" s="40">
        <f>IF(ISNUMBER(SEARCH(E46,C2)),1,0)</f>
        <v>0</v>
      </c>
      <c r="G46" s="40">
        <f>IF(ISNUMBER(SEARCH(E46,C3)),1,0)</f>
        <v>1</v>
      </c>
      <c r="H46" s="41">
        <f>IF(ISNUMBER(SEARCH(E46,C4)),1,0)</f>
        <v>1</v>
      </c>
      <c r="I46" s="41">
        <f>IF(ISNUMBER(SEARCH(E46,C5)),1,0)</f>
        <v>0</v>
      </c>
      <c r="J46" s="41">
        <f>IF(ISNUMBER(SEARCH(E46,C6)),1,0)</f>
        <v>1</v>
      </c>
      <c r="K46" s="42" t="str">
        <f>IF(AND(Table5[[#This Row],[Member1]]+Table5[[#This Row],[Member 2]]+Table5[[#This Row],[Member 3]]+Table5[[#This Row],[Member 4]]=4),"Yes",(IF(Table5[[#This Row],[Member1]]+Table5[[#This Row],[Member 2]]+Table5[[#This Row],[Member 3]]+Table5[[#This Row],[Member 4]]=3,"Likely","No")))</f>
        <v>No</v>
      </c>
    </row>
    <row r="47" spans="5:13">
      <c r="E47" s="76" t="s">
        <v>62</v>
      </c>
      <c r="F47" s="40">
        <f>IF(ISNUMBER(SEARCH(E47,C2)),1,0)</f>
        <v>0</v>
      </c>
      <c r="G47" s="40">
        <f>IF(ISNUMBER(SEARCH(E47,C3)),1,0)</f>
        <v>0</v>
      </c>
      <c r="H47" s="41">
        <f>IF(ISNUMBER(SEARCH(E47,C4)),1,0)</f>
        <v>0</v>
      </c>
      <c r="I47" s="41">
        <f>IF(ISNUMBER(SEARCH(E47,C5)),1,0)</f>
        <v>0</v>
      </c>
      <c r="J47" s="41">
        <f>IF(ISNUMBER(SEARCH(E47,C6)),1,0)</f>
        <v>0</v>
      </c>
      <c r="K47" s="42" t="str">
        <f>IF(AND(Table5[[#This Row],[Member1]]+Table5[[#This Row],[Member 2]]+Table5[[#This Row],[Member 3]]+Table5[[#This Row],[Member 4]]=4),"Yes",(IF(Table5[[#This Row],[Member1]]+Table5[[#This Row],[Member 2]]+Table5[[#This Row],[Member 3]]+Table5[[#This Row],[Member 4]]=3,"Likely","No")))</f>
        <v>No</v>
      </c>
    </row>
    <row r="48" spans="5:13">
      <c r="E48" s="76" t="s">
        <v>60</v>
      </c>
      <c r="F48" s="40">
        <f>IF(ISNUMBER(SEARCH(E48,C2)),1,0)</f>
        <v>0</v>
      </c>
      <c r="G48" s="40">
        <f>IF(ISNUMBER(SEARCH(E48,C3)),1,0)</f>
        <v>0</v>
      </c>
      <c r="H48" s="41">
        <f>IF(ISNUMBER(SEARCH(E48,C4)),1,0)</f>
        <v>0</v>
      </c>
      <c r="I48" s="41">
        <f>IF(ISNUMBER(SEARCH(E48,C5)),1,0)</f>
        <v>0</v>
      </c>
      <c r="J48" s="41">
        <f>IF(ISNUMBER(SEARCH(E48,C6)),1,0)</f>
        <v>0</v>
      </c>
      <c r="K48" s="42" t="str">
        <f>IF(AND(Table5[[#This Row],[Member1]]+Table5[[#This Row],[Member 2]]+Table5[[#This Row],[Member 3]]+Table5[[#This Row],[Member 4]]=4),"Yes",(IF(Table5[[#This Row],[Member1]]+Table5[[#This Row],[Member 2]]+Table5[[#This Row],[Member 3]]+Table5[[#This Row],[Member 4]]=3,"Likely","No")))</f>
        <v>No</v>
      </c>
    </row>
    <row r="49" spans="5:11">
      <c r="E49" s="76" t="s">
        <v>58</v>
      </c>
      <c r="F49" s="40">
        <f>IF(ISNUMBER(SEARCH(E49,C2)),1,0)</f>
        <v>0</v>
      </c>
      <c r="G49" s="40">
        <f>IF(ISNUMBER(SEARCH(E49,C3)),1,0)</f>
        <v>0</v>
      </c>
      <c r="H49" s="41">
        <f>IF(ISNUMBER(SEARCH(E49,C4)),1,0)</f>
        <v>0</v>
      </c>
      <c r="I49" s="41">
        <f>IF(ISNUMBER(SEARCH(E49,C5)),1,0)</f>
        <v>0</v>
      </c>
      <c r="J49" s="41">
        <f>IF(ISNUMBER(SEARCH(E49,C6)),1,0)</f>
        <v>0</v>
      </c>
      <c r="K49" s="42" t="str">
        <f>IF(AND(Table5[[#This Row],[Member1]]+Table5[[#This Row],[Member 2]]+Table5[[#This Row],[Member 3]]+Table5[[#This Row],[Member 4]]=4),"Yes",(IF(Table5[[#This Row],[Member1]]+Table5[[#This Row],[Member 2]]+Table5[[#This Row],[Member 3]]+Table5[[#This Row],[Member 4]]=3,"Likely","No")))</f>
        <v>No</v>
      </c>
    </row>
    <row r="50" spans="5:11">
      <c r="E50" s="76" t="s">
        <v>56</v>
      </c>
      <c r="F50" s="40">
        <f>IF(ISNUMBER(SEARCH(E50,G4)),1,0)</f>
        <v>0</v>
      </c>
      <c r="G50" s="40">
        <f>IF(ISNUMBER(SEARCH(E50,C3)),1,0)</f>
        <v>0</v>
      </c>
      <c r="H50" s="41">
        <f>IF(ISNUMBER(SEARCH(E50,C4)),1,0)</f>
        <v>0</v>
      </c>
      <c r="I50" s="41">
        <f>IF(ISNUMBER(SEARCH(E50,C5)),1,0)</f>
        <v>0</v>
      </c>
      <c r="J50" s="41">
        <f>IF(ISNUMBER(SEARCH(E50,C6)),1,0)</f>
        <v>0</v>
      </c>
      <c r="K50" s="42" t="str">
        <f>IF(AND(Table5[[#This Row],[Member1]]+Table5[[#This Row],[Member 2]]+Table5[[#This Row],[Member 3]]+Table5[[#This Row],[Member 4]]=4),"Yes",(IF(Table5[[#This Row],[Member1]]+Table5[[#This Row],[Member 2]]+Table5[[#This Row],[Member 3]]+Table5[[#This Row],[Member 4]]=3,"Likely","No")))</f>
        <v>No</v>
      </c>
    </row>
    <row r="51" spans="5:11">
      <c r="E51" s="77" t="s">
        <v>159</v>
      </c>
      <c r="F51" s="45">
        <f>IF(ISNUMBER(SEARCH(E51,G5)),1,0)</f>
        <v>0</v>
      </c>
      <c r="G51" s="45">
        <f>IF(ISNUMBER(SEARCH(E51,C4)),1,0)</f>
        <v>0</v>
      </c>
      <c r="H51" s="46">
        <f>IF(ISNUMBER(SEARCH(E51,C5)),1,0)</f>
        <v>0</v>
      </c>
      <c r="I51" s="46">
        <f>IF(ISNUMBER(SEARCH(E51,C6)),1,0)</f>
        <v>0</v>
      </c>
      <c r="J51" s="46">
        <f>IF(ISNUMBER(SEARCH(E51,C7)),1,0)</f>
        <v>0</v>
      </c>
      <c r="K51" s="47" t="str">
        <f>IF(AND(Table5[[#This Row],[Member1]]+Table5[[#This Row],[Member 2]]+Table5[[#This Row],[Member 3]]+Table5[[#This Row],[Member 4]]=4),"Yes",(IF(Table5[[#This Row],[Member1]]+Table5[[#This Row],[Member 2]]+Table5[[#This Row],[Member 3]]+Table5[[#This Row],[Member 4]]=3,"Likely","No")))</f>
        <v>No</v>
      </c>
    </row>
    <row r="68" spans="9:15">
      <c r="I68" s="7"/>
      <c r="J68" s="6"/>
      <c r="K68" s="6"/>
      <c r="L68" s="8"/>
      <c r="M68" s="8"/>
      <c r="N68" s="8"/>
      <c r="O68" s="8"/>
    </row>
  </sheetData>
  <phoneticPr fontId="6" type="noConversion"/>
  <conditionalFormatting sqref="F2:J32">
    <cfRule type="cellIs" dxfId="31" priority="8" operator="equal">
      <formula>1</formula>
    </cfRule>
    <cfRule type="cellIs" dxfId="30" priority="12" operator="equal">
      <formula>1</formula>
    </cfRule>
  </conditionalFormatting>
  <conditionalFormatting sqref="K2:K32">
    <cfRule type="containsText" dxfId="29" priority="5" operator="containsText" text="Likely">
      <formula>NOT(ISERROR(SEARCH("Likely",K2)))</formula>
    </cfRule>
    <cfRule type="containsText" dxfId="28" priority="6" operator="containsText" text="No">
      <formula>NOT(ISERROR(SEARCH("No",K2)))</formula>
    </cfRule>
    <cfRule type="containsText" dxfId="27" priority="7" operator="containsText" text="Yes">
      <formula>NOT(ISERROR(SEARCH("Yes",K2)))</formula>
    </cfRule>
    <cfRule type="cellIs" dxfId="26" priority="11" operator="equal">
      <formula>"YES"</formula>
    </cfRule>
  </conditionalFormatting>
  <conditionalFormatting sqref="E34:K51">
    <cfRule type="cellIs" dxfId="25" priority="9" operator="equal">
      <formula>"YES"</formula>
    </cfRule>
    <cfRule type="cellIs" dxfId="24" priority="10" operator="equal">
      <formula>1</formula>
    </cfRule>
  </conditionalFormatting>
  <conditionalFormatting sqref="F35:J51">
    <cfRule type="cellIs" dxfId="23" priority="4" operator="equal">
      <formula>1</formula>
    </cfRule>
  </conditionalFormatting>
  <conditionalFormatting sqref="K35:K51">
    <cfRule type="containsText" dxfId="22" priority="1" operator="containsText" text="Like">
      <formula>NOT(ISERROR(SEARCH("Like",K35)))</formula>
    </cfRule>
    <cfRule type="containsText" dxfId="21" priority="2" operator="containsText" text="No">
      <formula>NOT(ISERROR(SEARCH("No",K35)))</formula>
    </cfRule>
    <cfRule type="cellIs" dxfId="20" priority="3" operator="equal">
      <formula>"Yes"</formula>
    </cfRule>
  </conditionalFormatting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BD4AC-2C90-4F27-BD75-F259BC71F005}">
  <sheetPr codeName="Sheet2"/>
  <dimension ref="A1:D15"/>
  <sheetViews>
    <sheetView zoomScale="74" workbookViewId="0">
      <selection activeCell="A8" sqref="A8"/>
    </sheetView>
  </sheetViews>
  <sheetFormatPr baseColWidth="10" defaultColWidth="8.83203125" defaultRowHeight="16"/>
  <cols>
    <col min="1" max="1" width="9.6640625" customWidth="1"/>
    <col min="2" max="2" width="17.6640625" customWidth="1"/>
    <col min="3" max="3" width="8.83203125" customWidth="1"/>
  </cols>
  <sheetData>
    <row r="1" spans="1:4">
      <c r="A1" s="50" t="s">
        <v>152</v>
      </c>
      <c r="B1" s="50" t="s">
        <v>168</v>
      </c>
      <c r="C1" s="32"/>
      <c r="D1" s="32"/>
    </row>
    <row r="2" spans="1:4">
      <c r="A2" s="14" t="s">
        <v>151</v>
      </c>
      <c r="B2" s="14" t="s">
        <v>167</v>
      </c>
      <c r="C2" s="32"/>
      <c r="D2" s="32"/>
    </row>
    <row r="3" spans="1:4">
      <c r="A3" s="14" t="s">
        <v>88</v>
      </c>
      <c r="B3" s="14" t="s">
        <v>114</v>
      </c>
      <c r="C3" s="32"/>
      <c r="D3" s="32"/>
    </row>
    <row r="4" spans="1:4">
      <c r="A4" s="14" t="s">
        <v>35</v>
      </c>
      <c r="B4" s="14" t="s">
        <v>139</v>
      </c>
      <c r="C4" s="32"/>
      <c r="D4" s="32"/>
    </row>
    <row r="5" spans="1:4">
      <c r="A5" s="14"/>
      <c r="B5" s="14"/>
      <c r="C5" s="32"/>
      <c r="D5" s="32"/>
    </row>
    <row r="6" spans="1:4">
      <c r="A6" s="14"/>
      <c r="B6" s="14"/>
      <c r="C6" s="32"/>
      <c r="D6" s="32"/>
    </row>
    <row r="7" spans="1:4">
      <c r="A7" s="14"/>
      <c r="B7" s="14"/>
      <c r="C7" s="32"/>
      <c r="D7" s="32"/>
    </row>
    <row r="8" spans="1:4">
      <c r="A8" s="14"/>
      <c r="B8" s="14"/>
      <c r="C8" s="32"/>
      <c r="D8" s="32"/>
    </row>
    <row r="9" spans="1:4">
      <c r="A9" s="14"/>
      <c r="B9" s="14"/>
      <c r="C9" s="32"/>
      <c r="D9" s="32"/>
    </row>
    <row r="10" spans="1:4">
      <c r="A10" s="14"/>
      <c r="B10" s="14"/>
      <c r="C10" s="32"/>
      <c r="D10" s="32"/>
    </row>
    <row r="11" spans="1:4">
      <c r="A11" s="14"/>
      <c r="B11" s="14"/>
      <c r="C11" s="32"/>
      <c r="D11" s="32"/>
    </row>
    <row r="12" spans="1:4">
      <c r="A12" s="14"/>
      <c r="B12" s="14"/>
      <c r="C12" s="32"/>
      <c r="D12" s="32"/>
    </row>
    <row r="13" spans="1:4">
      <c r="A13" s="14"/>
      <c r="B13" s="14"/>
      <c r="C13" s="32"/>
      <c r="D13" s="32"/>
    </row>
    <row r="14" spans="1:4">
      <c r="A14" s="14"/>
      <c r="B14" s="14"/>
      <c r="C14" s="32"/>
      <c r="D14" s="32"/>
    </row>
    <row r="15" spans="1:4">
      <c r="A15" s="14"/>
      <c r="B15" s="1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Time Management</vt:lpstr>
      <vt:lpstr>Task Manager</vt:lpstr>
      <vt:lpstr>Scheduling</vt:lpstr>
      <vt:lpstr>Member Assistance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2018-10-28T00:00:56Z</dcterms:created>
  <dcterms:modified xsi:type="dcterms:W3CDTF">2019-08-20T19:10:50Z</dcterms:modified>
</cp:coreProperties>
</file>